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Описание метрик" sheetId="3" state="visible" r:id="rId3"/>
    <sheet name="Сводная таблица лидеров" sheetId="4" state="visible" r:id="rId4"/>
    <sheet name="Инструкция" sheetId="5" state="visible" r:id="rId5"/>
    <sheet name="Технический лист" sheetId="6" state="hidden" r:id="rId6"/>
  </sheets>
  <definedNames>
    <definedName name="_xlnm._FilterDatabase" localSheetId="0" hidden="1">'Анализ конкурентов'!$A$1:$V$44</definedName>
  </definedNames>
  <calcPr calcId="124519" fullCalcOnLoad="1"/>
</workbook>
</file>

<file path=xl/styles.xml><?xml version="1.0" encoding="utf-8"?>
<styleSheet xmlns="http://schemas.openxmlformats.org/spreadsheetml/2006/main">
  <numFmts count="0"/>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4">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5.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4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c r="F2" s="34" t="n"/>
      <c r="G2" s="35" t="n"/>
      <c r="H2" s="36" t="n"/>
      <c r="I2" s="37" t="n"/>
      <c r="J2" s="38" t="n"/>
      <c r="K2" s="131" t="n"/>
      <c r="L2" s="40" t="n"/>
      <c r="M2" s="41" t="n"/>
      <c r="N2" s="42" t="n">
        <v>34000</v>
      </c>
      <c r="O2" s="255" t="n">
        <v>139372</v>
      </c>
      <c r="P2" s="44" t="n"/>
      <c r="Q2" s="311" t="n"/>
      <c r="R2" s="46">
        <f>IFERROR(N2/O2,"")</f>
        <v/>
      </c>
      <c r="S2" s="46">
        <f>IFERROR(P2/Q2,"")</f>
        <v/>
      </c>
      <c r="T2" s="47" t="n"/>
      <c r="U2" s="48" t="n"/>
      <c r="V2" s="49">
        <f>IFERROR(U2/T2,"")</f>
        <v/>
      </c>
      <c r="W2" s="50" t="n"/>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c r="F3" s="34" t="n"/>
      <c r="G3" s="35" t="n"/>
      <c r="H3" s="36" t="n"/>
      <c r="I3" s="37" t="n"/>
      <c r="J3" s="38" t="n"/>
      <c r="K3" s="131" t="n"/>
      <c r="L3" s="40" t="n"/>
      <c r="M3" s="41" t="n"/>
      <c r="N3" s="42" t="n">
        <v>12027</v>
      </c>
      <c r="O3" s="255" t="n">
        <v>42378</v>
      </c>
      <c r="P3" s="44" t="n"/>
      <c r="Q3" s="311" t="n"/>
      <c r="R3" s="46">
        <f>IFERROR(N3/O3,"")</f>
        <v/>
      </c>
      <c r="S3" s="46">
        <f>IFERROR(P3/Q3,"")</f>
        <v/>
      </c>
      <c r="T3" s="47" t="n"/>
      <c r="U3" s="48" t="n"/>
      <c r="V3" s="49">
        <f>IFERROR(U3/T3,"")</f>
        <v/>
      </c>
      <c r="W3" s="50" t="n"/>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c r="F4" s="34" t="n"/>
      <c r="G4" s="35" t="n"/>
      <c r="H4" s="36" t="n"/>
      <c r="I4" s="37" t="n"/>
      <c r="J4" s="38" t="n"/>
      <c r="K4" s="131" t="n"/>
      <c r="L4" s="40" t="n"/>
      <c r="M4" s="41" t="n"/>
      <c r="N4" s="42" t="n">
        <v>8912</v>
      </c>
      <c r="O4" s="255" t="n">
        <v>17944</v>
      </c>
      <c r="P4" s="44" t="n"/>
      <c r="Q4" s="311" t="n"/>
      <c r="R4" s="46">
        <f>IFERROR(N4/O4,"")</f>
        <v/>
      </c>
      <c r="S4" s="46">
        <f>IFERROR(P4/Q4,"")</f>
        <v/>
      </c>
      <c r="T4" s="47" t="n"/>
      <c r="U4" s="48" t="n"/>
      <c r="V4" s="49">
        <f>IFERROR(U4/T4,"")</f>
        <v/>
      </c>
      <c r="W4" s="50" t="n"/>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c r="F5" s="34" t="n"/>
      <c r="G5" s="35" t="n"/>
      <c r="H5" s="36" t="n"/>
      <c r="I5" s="37" t="n"/>
      <c r="J5" s="38" t="n"/>
      <c r="K5" s="131" t="n"/>
      <c r="L5" s="40" t="n"/>
      <c r="M5" s="41" t="n"/>
      <c r="N5" s="42" t="n">
        <v>6795</v>
      </c>
      <c r="O5" s="255" t="n">
        <v>80522</v>
      </c>
      <c r="P5" s="44" t="n"/>
      <c r="Q5" s="311" t="n"/>
      <c r="R5" s="46">
        <f>IFERROR(N5/O5,"")</f>
        <v/>
      </c>
      <c r="S5" s="46">
        <f>IFERROR(P5/Q5,"")</f>
        <v/>
      </c>
      <c r="T5" s="47" t="n"/>
      <c r="U5" s="48" t="n"/>
      <c r="V5" s="49">
        <f>IFERROR(U5/T5,"")</f>
        <v/>
      </c>
      <c r="W5" s="50" t="n"/>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c r="F6" s="34" t="n"/>
      <c r="G6" s="35" t="n"/>
      <c r="H6" s="36" t="n"/>
      <c r="I6" s="37" t="n"/>
      <c r="J6" s="38" t="n"/>
      <c r="K6" s="131" t="n"/>
      <c r="L6" s="40" t="n"/>
      <c r="M6" s="41" t="n"/>
      <c r="N6" s="42" t="n">
        <v>6373</v>
      </c>
      <c r="O6" s="255" t="n">
        <v>24331</v>
      </c>
      <c r="P6" s="44" t="n"/>
      <c r="Q6" s="311" t="n"/>
      <c r="R6" s="46">
        <f>IFERROR(N6/O6,"")</f>
        <v/>
      </c>
      <c r="S6" s="46">
        <f>IFERROR(P6/Q6,"")</f>
        <v/>
      </c>
      <c r="T6" s="47" t="n"/>
      <c r="U6" s="48" t="n"/>
      <c r="V6" s="49">
        <f>IFERROR(U6/T6,"")</f>
        <v/>
      </c>
      <c r="W6" s="50" t="n"/>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c r="F7" s="34" t="n"/>
      <c r="G7" s="35" t="n"/>
      <c r="H7" s="36" t="n"/>
      <c r="I7" s="37" t="n"/>
      <c r="J7" s="38" t="n"/>
      <c r="K7" s="131" t="n"/>
      <c r="L7" s="40" t="n"/>
      <c r="M7" s="41" t="n"/>
      <c r="N7" s="42" t="n">
        <v>6043</v>
      </c>
      <c r="O7" s="255" t="n">
        <v>19713</v>
      </c>
      <c r="P7" s="44" t="n"/>
      <c r="Q7" s="311" t="n"/>
      <c r="R7" s="46">
        <f>IFERROR(N7/O7,"")</f>
        <v/>
      </c>
      <c r="S7" s="46">
        <f>IFERROR(P7/Q7,"")</f>
        <v/>
      </c>
      <c r="T7" s="47" t="n"/>
      <c r="U7" s="48" t="n"/>
      <c r="V7" s="49">
        <f>IFERROR(U7/T7,"")</f>
        <v/>
      </c>
      <c r="W7" s="50" t="n"/>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c r="F8" s="34" t="n"/>
      <c r="G8" s="35" t="n"/>
      <c r="H8" s="36" t="n"/>
      <c r="I8" s="37" t="n"/>
      <c r="J8" s="38" t="n"/>
      <c r="K8" s="131" t="n"/>
      <c r="L8" s="40" t="n"/>
      <c r="M8" s="41" t="n"/>
      <c r="N8" s="42" t="n">
        <v>4514</v>
      </c>
      <c r="O8" s="255" t="n">
        <v>17901</v>
      </c>
      <c r="P8" s="44" t="n"/>
      <c r="Q8" s="311" t="n"/>
      <c r="R8" s="46">
        <f>IFERROR(N8/O8,"")</f>
        <v/>
      </c>
      <c r="S8" s="46">
        <f>IFERROR(P8/Q8,"")</f>
        <v/>
      </c>
      <c r="T8" s="47" t="n"/>
      <c r="U8" s="48" t="n"/>
      <c r="V8" s="49">
        <f>IFERROR(U8/T8,"")</f>
        <v/>
      </c>
      <c r="W8" s="50" t="n"/>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c r="F9" s="34" t="n"/>
      <c r="G9" s="35" t="n"/>
      <c r="H9" s="36" t="n"/>
      <c r="I9" s="37" t="n"/>
      <c r="J9" s="38" t="n"/>
      <c r="K9" s="131" t="n"/>
      <c r="L9" s="40" t="n"/>
      <c r="M9" s="41" t="n"/>
      <c r="N9" s="42" t="n">
        <v>2687</v>
      </c>
      <c r="O9" s="255" t="n">
        <v>18562</v>
      </c>
      <c r="P9" s="44" t="n"/>
      <c r="Q9" s="311" t="n"/>
      <c r="R9" s="46">
        <f>IFERROR(N9/O9,"")</f>
        <v/>
      </c>
      <c r="S9" s="46">
        <f>IFERROR(P9/Q9,"")</f>
        <v/>
      </c>
      <c r="T9" s="47" t="n"/>
      <c r="U9" s="48" t="n"/>
      <c r="V9" s="49">
        <f>IFERROR(U9/T9,"")</f>
        <v/>
      </c>
      <c r="W9" s="50" t="n"/>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c r="F10" s="34" t="n"/>
      <c r="G10" s="35" t="n"/>
      <c r="H10" s="36" t="n"/>
      <c r="I10" s="37" t="n"/>
      <c r="J10" s="38" t="n"/>
      <c r="K10" s="131" t="n"/>
      <c r="L10" s="40" t="n"/>
      <c r="M10" s="41" t="n"/>
      <c r="N10" s="42" t="n">
        <v>2671</v>
      </c>
      <c r="O10" s="255" t="n">
        <v>39793</v>
      </c>
      <c r="P10" s="44" t="n"/>
      <c r="Q10" s="311" t="n"/>
      <c r="R10" s="46">
        <f>IFERROR(N10/O10,"")</f>
        <v/>
      </c>
      <c r="S10" s="46">
        <f>IFERROR(P10/Q10,"")</f>
        <v/>
      </c>
      <c r="T10" s="47" t="n"/>
      <c r="U10" s="48" t="n"/>
      <c r="V10" s="49">
        <f>IFERROR(U10/T10,"")</f>
        <v/>
      </c>
      <c r="W10" s="50" t="n"/>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c r="F11" s="34" t="n"/>
      <c r="G11" s="35" t="n"/>
      <c r="H11" s="36" t="n"/>
      <c r="I11" s="37" t="n"/>
      <c r="J11" s="38" t="n"/>
      <c r="K11" s="131" t="n"/>
      <c r="L11" s="40" t="n"/>
      <c r="M11" s="41" t="n"/>
      <c r="N11" s="42" t="n">
        <v>2595</v>
      </c>
      <c r="O11" s="255" t="n">
        <v>12635</v>
      </c>
      <c r="P11" s="44" t="n"/>
      <c r="Q11" s="311" t="n"/>
      <c r="R11" s="46">
        <f>IFERROR(N11/O11,"")</f>
        <v/>
      </c>
      <c r="S11" s="46">
        <f>IFERROR(P11/Q11,"")</f>
        <v/>
      </c>
      <c r="T11" s="47" t="n"/>
      <c r="U11" s="48" t="n"/>
      <c r="V11" s="49">
        <f>IFERROR(U11/T11,"")</f>
        <v/>
      </c>
      <c r="W11" s="50" t="n"/>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c r="F12" s="34" t="n"/>
      <c r="G12" s="35" t="n"/>
      <c r="H12" s="36" t="n"/>
      <c r="I12" s="37" t="n"/>
      <c r="J12" s="38" t="n"/>
      <c r="K12" s="131" t="n"/>
      <c r="L12" s="40" t="n"/>
      <c r="M12" s="41" t="n"/>
      <c r="N12" s="42" t="n">
        <v>2067</v>
      </c>
      <c r="O12" s="255" t="n">
        <v>17494</v>
      </c>
      <c r="P12" s="44" t="n"/>
      <c r="Q12" s="311" t="n"/>
      <c r="R12" s="46">
        <f>IFERROR(N12/O12,"")</f>
        <v/>
      </c>
      <c r="S12" s="46">
        <f>IFERROR(P12/Q12,"")</f>
        <v/>
      </c>
      <c r="T12" s="47" t="n"/>
      <c r="U12" s="48" t="n"/>
      <c r="V12" s="49">
        <f>IFERROR(U12/T12,"")</f>
        <v/>
      </c>
      <c r="W12" s="50" t="n"/>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c r="F13" s="34" t="n"/>
      <c r="G13" s="35" t="n"/>
      <c r="H13" s="36" t="n"/>
      <c r="I13" s="37" t="n"/>
      <c r="J13" s="38" t="n"/>
      <c r="K13" s="131" t="n"/>
      <c r="L13" s="40" t="n"/>
      <c r="M13" s="41" t="n"/>
      <c r="N13" s="42" t="n">
        <v>1973</v>
      </c>
      <c r="O13" s="255" t="n">
        <v>19233</v>
      </c>
      <c r="P13" s="44" t="n"/>
      <c r="Q13" s="311" t="n"/>
      <c r="R13" s="46">
        <f>IFERROR(N13/O13,"")</f>
        <v/>
      </c>
      <c r="S13" s="46">
        <f>IFERROR(P13/Q13,"")</f>
        <v/>
      </c>
      <c r="T13" s="47" t="n"/>
      <c r="U13" s="48" t="n"/>
      <c r="V13" s="49">
        <f>IFERROR(U13/T13,"")</f>
        <v/>
      </c>
      <c r="W13" s="50" t="n"/>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c r="F14" s="34" t="n"/>
      <c r="G14" s="35" t="n"/>
      <c r="H14" s="36" t="n"/>
      <c r="I14" s="37" t="n"/>
      <c r="J14" s="38" t="n"/>
      <c r="K14" s="131" t="n"/>
      <c r="L14" s="40" t="n"/>
      <c r="M14" s="41" t="n"/>
      <c r="N14" s="42" t="n">
        <v>1826</v>
      </c>
      <c r="O14" s="255" t="n">
        <v>16120</v>
      </c>
      <c r="P14" s="44" t="n"/>
      <c r="Q14" s="311" t="n"/>
      <c r="R14" s="46">
        <f>IFERROR(N14/O14,"")</f>
        <v/>
      </c>
      <c r="S14" s="46">
        <f>IFERROR(P14/Q14,"")</f>
        <v/>
      </c>
      <c r="T14" s="47" t="n"/>
      <c r="U14" s="48" t="n"/>
      <c r="V14" s="49">
        <f>IFERROR(U14/T14,"")</f>
        <v/>
      </c>
      <c r="W14" s="50" t="n"/>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c r="F15" s="34" t="n"/>
      <c r="G15" s="35" t="n"/>
      <c r="H15" s="36" t="n"/>
      <c r="I15" s="37" t="n"/>
      <c r="J15" s="38" t="n"/>
      <c r="K15" s="131" t="n"/>
      <c r="L15" s="40" t="n"/>
      <c r="M15" s="41" t="n"/>
      <c r="N15" s="42" t="n">
        <v>1795</v>
      </c>
      <c r="O15" s="255" t="n">
        <v>31655</v>
      </c>
      <c r="P15" s="44" t="n"/>
      <c r="Q15" s="311" t="n"/>
      <c r="R15" s="46">
        <f>IFERROR(N15/O15,"")</f>
        <v/>
      </c>
      <c r="S15" s="46">
        <f>IFERROR(P15/Q15,"")</f>
        <v/>
      </c>
      <c r="T15" s="47" t="n"/>
      <c r="U15" s="48" t="n"/>
      <c r="V15" s="49">
        <f>IFERROR(U15/T15,"")</f>
        <v/>
      </c>
      <c r="W15" s="50" t="n"/>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c r="F16" s="34" t="n"/>
      <c r="G16" s="35" t="n"/>
      <c r="H16" s="36" t="n"/>
      <c r="I16" s="37" t="n"/>
      <c r="J16" s="38" t="n"/>
      <c r="K16" s="131" t="n"/>
      <c r="L16" s="40" t="n"/>
      <c r="M16" s="41" t="n"/>
      <c r="N16" s="42" t="n">
        <v>1753</v>
      </c>
      <c r="O16" s="255" t="n">
        <v>14459</v>
      </c>
      <c r="P16" s="44" t="n"/>
      <c r="Q16" s="311" t="n"/>
      <c r="R16" s="46">
        <f>IFERROR(N16/O16,"")</f>
        <v/>
      </c>
      <c r="S16" s="46">
        <f>IFERROR(P16/Q16,"")</f>
        <v/>
      </c>
      <c r="T16" s="47" t="n"/>
      <c r="U16" s="48" t="n"/>
      <c r="V16" s="49">
        <f>IFERROR(U16/T16,"")</f>
        <v/>
      </c>
      <c r="W16" s="50" t="n"/>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c r="F17" s="34" t="n"/>
      <c r="G17" s="35" t="n"/>
      <c r="H17" s="36" t="n"/>
      <c r="I17" s="37" t="n"/>
      <c r="J17" s="38" t="n"/>
      <c r="K17" s="131" t="n"/>
      <c r="L17" s="40" t="n"/>
      <c r="M17" s="41" t="n"/>
      <c r="N17" s="42" t="n">
        <v>1209</v>
      </c>
      <c r="O17" s="255" t="n">
        <v>8364</v>
      </c>
      <c r="P17" s="44" t="n"/>
      <c r="Q17" s="311" t="n"/>
      <c r="R17" s="46">
        <f>IFERROR(N17/O17,"")</f>
        <v/>
      </c>
      <c r="S17" s="46">
        <f>IFERROR(P17/Q17,"")</f>
        <v/>
      </c>
      <c r="T17" s="47" t="n"/>
      <c r="U17" s="48" t="n"/>
      <c r="V17" s="49">
        <f>IFERROR(U17/T17,"")</f>
        <v/>
      </c>
      <c r="W17" s="50" t="n"/>
      <c r="X17" s="262" t="inlineStr">
        <is>
          <t>Слабый конкурент</t>
        </is>
      </c>
    </row>
    <row r="18">
      <c r="A18" s="26">
        <f>IMAGE(C18)</f>
        <v/>
      </c>
      <c r="B18" s="28" t="inlineStr">
        <is>
          <t>https://ambimed.ru/</t>
        </is>
      </c>
      <c r="C18" s="31">
        <f>"https://www.google.com/s2/favicons?domain="&amp;B18</f>
        <v/>
      </c>
      <c r="D18" s="31">
        <f>"https://a.pr-cy.ru/"&amp;IF(ISERROR(FIND("//www.",B18)),MID(B18,FIND(":",B18,4)+3,FIND("/",B18,9)-FIND(":",B18,4)-3),MID(B18,FIND(":",B18,4)+7,FIND("/",B18,9)-FIND(":",B18,4)-7))&amp;"/"</f>
        <v/>
      </c>
      <c r="E18" s="33" t="n"/>
      <c r="F18" s="34" t="n"/>
      <c r="G18" s="35" t="n"/>
      <c r="H18" s="36" t="n"/>
      <c r="I18" s="37" t="n"/>
      <c r="J18" s="38" t="n"/>
      <c r="K18" s="131" t="n"/>
      <c r="L18" s="40" t="n"/>
      <c r="M18" s="41" t="n"/>
      <c r="N18" s="42" t="n">
        <v>1194</v>
      </c>
      <c r="O18" s="255" t="n">
        <v>21325</v>
      </c>
      <c r="P18" s="44" t="n"/>
      <c r="Q18" s="311" t="n"/>
      <c r="R18" s="46">
        <f>IFERROR(N18/O18,"")</f>
        <v/>
      </c>
      <c r="S18" s="46">
        <f>IFERROR(P18/Q18,"")</f>
        <v/>
      </c>
      <c r="T18" s="47" t="n"/>
      <c r="U18" s="48" t="n"/>
      <c r="V18" s="49">
        <f>IFERROR(U18/T18,"")</f>
        <v/>
      </c>
      <c r="W18" s="50" t="n"/>
      <c r="X18" s="262" t="inlineStr">
        <is>
          <t>Слабый конкурент</t>
        </is>
      </c>
    </row>
    <row r="19">
      <c r="A19" s="26">
        <f>IMAGE(C19)</f>
        <v/>
      </c>
      <c r="B19" s="28" t="inlineStr">
        <is>
          <t>https://eurosmed.ru/</t>
        </is>
      </c>
      <c r="C19" s="31">
        <f>"https://www.google.com/s2/favicons?domain="&amp;B19</f>
        <v/>
      </c>
      <c r="D19" s="31">
        <f>"https://a.pr-cy.ru/"&amp;IF(ISERROR(FIND("//www.",B19)),MID(B19,FIND(":",B19,4)+3,FIND("/",B19,9)-FIND(":",B19,4)-3),MID(B19,FIND(":",B19,4)+7,FIND("/",B19,9)-FIND(":",B19,4)-7))&amp;"/"</f>
        <v/>
      </c>
      <c r="E19" s="33" t="n"/>
      <c r="F19" s="34" t="n"/>
      <c r="G19" s="35" t="n"/>
      <c r="H19" s="36" t="n"/>
      <c r="I19" s="37" t="n"/>
      <c r="J19" s="38" t="n"/>
      <c r="K19" s="131" t="n"/>
      <c r="L19" s="40" t="n"/>
      <c r="M19" s="41" t="n"/>
      <c r="N19" s="42" t="n">
        <v>971</v>
      </c>
      <c r="O19" s="255" t="n">
        <v>17394</v>
      </c>
      <c r="P19" s="44" t="n"/>
      <c r="Q19" s="311" t="n"/>
      <c r="R19" s="46">
        <f>IFERROR(N19/O19,"")</f>
        <v/>
      </c>
      <c r="S19" s="46">
        <f>IFERROR(P19/Q19,"")</f>
        <v/>
      </c>
      <c r="T19" s="47" t="n"/>
      <c r="U19" s="48" t="n"/>
      <c r="V19" s="49">
        <f>IFERROR(U19/T19,"")</f>
        <v/>
      </c>
      <c r="W19" s="50" t="n"/>
      <c r="X19" s="262" t="inlineStr">
        <is>
          <t>Слабый конкурент</t>
        </is>
      </c>
    </row>
    <row r="20">
      <c r="A20" s="26">
        <f>IMAGE(C20)</f>
        <v/>
      </c>
      <c r="B20" s="28" t="inlineStr">
        <is>
          <t>https://vendem.ru/</t>
        </is>
      </c>
      <c r="C20" s="31">
        <f>"https://www.google.com/s2/favicons?domain="&amp;B20</f>
        <v/>
      </c>
      <c r="D20" s="31">
        <f>"https://a.pr-cy.ru/"&amp;IF(ISERROR(FIND("//www.",B20)),MID(B20,FIND(":",B20,4)+3,FIND("/",B20,9)-FIND(":",B20,4)-3),MID(B20,FIND(":",B20,4)+7,FIND("/",B20,9)-FIND(":",B20,4)-7))&amp;"/"</f>
        <v/>
      </c>
      <c r="E20" s="33" t="n"/>
      <c r="F20" s="34" t="n"/>
      <c r="G20" s="35" t="n"/>
      <c r="H20" s="36" t="n"/>
      <c r="I20" s="37" t="n"/>
      <c r="J20" s="38" t="n"/>
      <c r="K20" s="131" t="n"/>
      <c r="L20" s="40" t="n"/>
      <c r="M20" s="41" t="n"/>
      <c r="N20" s="42" t="n">
        <v>876</v>
      </c>
      <c r="O20" s="255" t="n">
        <v>13675</v>
      </c>
      <c r="P20" s="44" t="n"/>
      <c r="Q20" s="311" t="n"/>
      <c r="R20" s="46">
        <f>IFERROR(N20/O20,"")</f>
        <v/>
      </c>
      <c r="S20" s="46">
        <f>IFERROR(P20/Q20,"")</f>
        <v/>
      </c>
      <c r="T20" s="47" t="n"/>
      <c r="U20" s="48" t="n"/>
      <c r="V20" s="49">
        <f>IFERROR(U20/T20,"")</f>
        <v/>
      </c>
      <c r="W20" s="50" t="n"/>
      <c r="X20" s="262" t="inlineStr">
        <is>
          <t>Слабый конкурент</t>
        </is>
      </c>
    </row>
    <row r="21">
      <c r="A21" s="26">
        <f>IMAGE(C21)</f>
        <v/>
      </c>
      <c r="B21" s="28" t="inlineStr">
        <is>
          <t>https://redsrus.ru/</t>
        </is>
      </c>
      <c r="C21" s="31">
        <f>"https://www.google.com/s2/favicons?domain="&amp;B21</f>
        <v/>
      </c>
      <c r="D21" s="31">
        <f>"https://a.pr-cy.ru/"&amp;IF(ISERROR(FIND("//www.",B21)),MID(B21,FIND(":",B21,4)+3,FIND("/",B21,9)-FIND(":",B21,4)-3),MID(B21,FIND(":",B21,4)+7,FIND("/",B21,9)-FIND(":",B21,4)-7))&amp;"/"</f>
        <v/>
      </c>
      <c r="E21" s="33" t="n"/>
      <c r="F21" s="34" t="n"/>
      <c r="G21" s="35" t="n"/>
      <c r="H21" s="36" t="n"/>
      <c r="I21" s="37" t="n"/>
      <c r="J21" s="38" t="n"/>
      <c r="K21" s="131" t="n"/>
      <c r="L21" s="40" t="n"/>
      <c r="M21" s="41" t="n"/>
      <c r="N21" s="42" t="n">
        <v>858</v>
      </c>
      <c r="O21" s="255" t="n">
        <v>8125</v>
      </c>
      <c r="P21" s="44" t="n"/>
      <c r="Q21" s="311" t="n"/>
      <c r="R21" s="46">
        <f>IFERROR(N21/O21,"")</f>
        <v/>
      </c>
      <c r="S21" s="46">
        <f>IFERROR(P21/Q21,"")</f>
        <v/>
      </c>
      <c r="T21" s="47" t="n"/>
      <c r="U21" s="48" t="n"/>
      <c r="V21" s="49">
        <f>IFERROR(U21/T21,"")</f>
        <v/>
      </c>
      <c r="W21" s="50" t="n"/>
      <c r="X21" s="262" t="inlineStr">
        <is>
          <t>Слабый конкурент</t>
        </is>
      </c>
    </row>
    <row r="22">
      <c r="A22" s="26">
        <f>IMAGE(C22)</f>
        <v/>
      </c>
      <c r="B22" s="28" t="inlineStr">
        <is>
          <t>https://lmed.ru/</t>
        </is>
      </c>
      <c r="C22" s="31">
        <f>"https://www.google.com/s2/favicons?domain="&amp;B22</f>
        <v/>
      </c>
      <c r="D22" s="31">
        <f>"https://a.pr-cy.ru/"&amp;IF(ISERROR(FIND("//www.",B22)),MID(B22,FIND(":",B22,4)+3,FIND("/",B22,9)-FIND(":",B22,4)-3),MID(B22,FIND(":",B22,4)+7,FIND("/",B22,9)-FIND(":",B22,4)-7))&amp;"/"</f>
        <v/>
      </c>
      <c r="E22" s="33" t="n"/>
      <c r="F22" s="34" t="n"/>
      <c r="G22" s="35" t="n"/>
      <c r="H22" s="36" t="n"/>
      <c r="I22" s="37" t="n"/>
      <c r="J22" s="38" t="n"/>
      <c r="K22" s="131" t="n"/>
      <c r="L22" s="40" t="n"/>
      <c r="M22" s="41" t="n"/>
      <c r="N22" s="42" t="n">
        <v>698</v>
      </c>
      <c r="O22" s="255" t="n">
        <v>6957</v>
      </c>
      <c r="P22" s="44" t="n"/>
      <c r="Q22" s="311" t="n"/>
      <c r="R22" s="46">
        <f>IFERROR(N22/O22,"")</f>
        <v/>
      </c>
      <c r="S22" s="46">
        <f>IFERROR(P22/Q22,"")</f>
        <v/>
      </c>
      <c r="T22" s="47" t="n"/>
      <c r="U22" s="48" t="n"/>
      <c r="V22" s="49">
        <f>IFERROR(U22/T22,"")</f>
        <v/>
      </c>
      <c r="W22" s="50" t="n"/>
      <c r="X22" s="262" t="inlineStr">
        <is>
          <t>Слабый конкурент</t>
        </is>
      </c>
    </row>
    <row r="23">
      <c r="A23" s="26">
        <f>IMAGE(C23)</f>
        <v/>
      </c>
      <c r="B23" s="28" t="inlineStr">
        <is>
          <t>https://medfregat.ru/</t>
        </is>
      </c>
      <c r="C23" s="31">
        <f>"https://www.google.com/s2/favicons?domain="&amp;B23</f>
        <v/>
      </c>
      <c r="D23" s="31">
        <f>"https://a.pr-cy.ru/"&amp;IF(ISERROR(FIND("//www.",B23)),MID(B23,FIND(":",B23,4)+3,FIND("/",B23,9)-FIND(":",B23,4)-3),MID(B23,FIND(":",B23,4)+7,FIND("/",B23,9)-FIND(":",B23,4)-7))&amp;"/"</f>
        <v/>
      </c>
      <c r="E23" s="33" t="n"/>
      <c r="F23" s="34" t="n"/>
      <c r="G23" s="35" t="n"/>
      <c r="H23" s="36" t="n"/>
      <c r="I23" s="37" t="n"/>
      <c r="J23" s="38" t="n"/>
      <c r="K23" s="131" t="n"/>
      <c r="L23" s="40" t="n"/>
      <c r="M23" s="41" t="n"/>
      <c r="N23" s="42" t="n">
        <v>675</v>
      </c>
      <c r="O23" s="255" t="n">
        <v>13742</v>
      </c>
      <c r="P23" s="44" t="n"/>
      <c r="Q23" s="311" t="n"/>
      <c r="R23" s="46">
        <f>IFERROR(N23/O23,"")</f>
        <v/>
      </c>
      <c r="S23" s="46">
        <f>IFERROR(P23/Q23,"")</f>
        <v/>
      </c>
      <c r="T23" s="47" t="n"/>
      <c r="U23" s="48" t="n"/>
      <c r="V23" s="49">
        <f>IFERROR(U23/T23,"")</f>
        <v/>
      </c>
      <c r="W23" s="50" t="n"/>
      <c r="X23" s="262" t="inlineStr">
        <is>
          <t>Слабый конкурент</t>
        </is>
      </c>
    </row>
    <row r="24">
      <c r="A24" s="26">
        <f>IMAGE(C24)</f>
        <v/>
      </c>
      <c r="B24" s="28" t="inlineStr">
        <is>
          <t>https://medicray.ru/</t>
        </is>
      </c>
      <c r="C24" s="31">
        <f>"https://www.google.com/s2/favicons?domain="&amp;B24</f>
        <v/>
      </c>
      <c r="D24" s="31">
        <f>"https://a.pr-cy.ru/"&amp;IF(ISERROR(FIND("//www.",B24)),MID(B24,FIND(":",B24,4)+3,FIND("/",B24,9)-FIND(":",B24,4)-3),MID(B24,FIND(":",B24,4)+7,FIND("/",B24,9)-FIND(":",B24,4)-7))&amp;"/"</f>
        <v/>
      </c>
      <c r="E24" s="33" t="n"/>
      <c r="F24" s="34" t="n"/>
      <c r="G24" s="35" t="n"/>
      <c r="H24" s="36" t="n"/>
      <c r="I24" s="37" t="n"/>
      <c r="J24" s="38" t="n"/>
      <c r="K24" s="131" t="n"/>
      <c r="L24" s="40" t="n"/>
      <c r="M24" s="41" t="n"/>
      <c r="N24" s="42" t="n">
        <v>500</v>
      </c>
      <c r="O24" s="255" t="n">
        <v>3144</v>
      </c>
      <c r="P24" s="44" t="n"/>
      <c r="Q24" s="311" t="n"/>
      <c r="R24" s="46">
        <f>IFERROR(N24/O24,"")</f>
        <v/>
      </c>
      <c r="S24" s="46">
        <f>IFERROR(P24/Q24,"")</f>
        <v/>
      </c>
      <c r="T24" s="47" t="n"/>
      <c r="U24" s="48" t="n"/>
      <c r="V24" s="49">
        <f>IFERROR(U24/T24,"")</f>
        <v/>
      </c>
      <c r="W24" s="50" t="n"/>
      <c r="X24" s="262" t="inlineStr">
        <is>
          <t>Слабый конкурент</t>
        </is>
      </c>
    </row>
    <row r="25">
      <c r="A25" s="26">
        <f>IMAGE(C25)</f>
        <v/>
      </c>
      <c r="B25" s="28" t="inlineStr">
        <is>
          <t>https://vilmed.ru/</t>
        </is>
      </c>
      <c r="C25" s="31">
        <f>"https://www.google.com/s2/favicons?domain="&amp;B25</f>
        <v/>
      </c>
      <c r="D25" s="31">
        <f>"https://a.pr-cy.ru/"&amp;IF(ISERROR(FIND("//www.",B25)),MID(B25,FIND(":",B25,4)+3,FIND("/",B25,9)-FIND(":",B25,4)-3),MID(B25,FIND(":",B25,4)+7,FIND("/",B25,9)-FIND(":",B25,4)-7))&amp;"/"</f>
        <v/>
      </c>
      <c r="E25" s="33" t="n"/>
      <c r="F25" s="34" t="n"/>
      <c r="G25" s="35" t="n"/>
      <c r="H25" s="36" t="n"/>
      <c r="I25" s="37" t="n"/>
      <c r="J25" s="38" t="n"/>
      <c r="K25" s="131" t="n"/>
      <c r="L25" s="40" t="n"/>
      <c r="M25" s="41" t="n"/>
      <c r="N25" s="42" t="n">
        <v>477</v>
      </c>
      <c r="O25" s="255" t="n">
        <v>35763</v>
      </c>
      <c r="P25" s="44" t="n"/>
      <c r="Q25" s="311" t="n"/>
      <c r="R25" s="46">
        <f>IFERROR(N25/O25,"")</f>
        <v/>
      </c>
      <c r="S25" s="46">
        <f>IFERROR(P25/Q25,"")</f>
        <v/>
      </c>
      <c r="T25" s="47" t="n"/>
      <c r="U25" s="48" t="n"/>
      <c r="V25" s="49">
        <f>IFERROR(U25/T25,"")</f>
        <v/>
      </c>
      <c r="W25" s="50" t="n"/>
      <c r="X25" s="262" t="inlineStr">
        <is>
          <t>Слабый конкурент</t>
        </is>
      </c>
    </row>
    <row r="26">
      <c r="A26" s="26">
        <f>IMAGE(C26)</f>
        <v/>
      </c>
      <c r="B26" s="28" t="inlineStr">
        <is>
          <t>https://teh-med.ru/</t>
        </is>
      </c>
      <c r="C26" s="31">
        <f>"https://www.google.com/s2/favicons?domain="&amp;B26</f>
        <v/>
      </c>
      <c r="D26" s="31">
        <f>"https://a.pr-cy.ru/"&amp;IF(ISERROR(FIND("//www.",B26)),MID(B26,FIND(":",B26,4)+3,FIND("/",B26,9)-FIND(":",B26,4)-3),MID(B26,FIND(":",B26,4)+7,FIND("/",B26,9)-FIND(":",B26,4)-7))&amp;"/"</f>
        <v/>
      </c>
      <c r="E26" s="33" t="n"/>
      <c r="F26" s="34" t="n"/>
      <c r="G26" s="35" t="n"/>
      <c r="H26" s="36" t="n"/>
      <c r="I26" s="37" t="n"/>
      <c r="J26" s="38" t="n"/>
      <c r="K26" s="131" t="n"/>
      <c r="L26" s="40" t="n"/>
      <c r="M26" s="41" t="n"/>
      <c r="N26" s="42" t="n">
        <v>467</v>
      </c>
      <c r="O26" s="255" t="n">
        <v>6946</v>
      </c>
      <c r="P26" s="44" t="n"/>
      <c r="Q26" s="311" t="n"/>
      <c r="R26" s="46">
        <f>IFERROR(N26/O26,"")</f>
        <v/>
      </c>
      <c r="S26" s="46">
        <f>IFERROR(P26/Q26,"")</f>
        <v/>
      </c>
      <c r="T26" s="47" t="n"/>
      <c r="U26" s="48" t="n"/>
      <c r="V26" s="49">
        <f>IFERROR(U26/T26,"")</f>
        <v/>
      </c>
      <c r="W26" s="50" t="n"/>
      <c r="X26" s="262" t="inlineStr">
        <is>
          <t>Слабый конкурент</t>
        </is>
      </c>
    </row>
    <row r="27">
      <c r="A27" s="26">
        <f>IMAGE(C27)</f>
        <v/>
      </c>
      <c r="B27" s="28" t="inlineStr">
        <is>
          <t>https://mil-nn.ru/</t>
        </is>
      </c>
      <c r="C27" s="31">
        <f>"https://www.google.com/s2/favicons?domain="&amp;B27</f>
        <v/>
      </c>
      <c r="D27" s="31">
        <f>"https://a.pr-cy.ru/"&amp;IF(ISERROR(FIND("//www.",B27)),MID(B27,FIND(":",B27,4)+3,FIND("/",B27,9)-FIND(":",B27,4)-3),MID(B27,FIND(":",B27,4)+7,FIND("/",B27,9)-FIND(":",B27,4)-7))&amp;"/"</f>
        <v/>
      </c>
      <c r="E27" s="33" t="n"/>
      <c r="F27" s="34" t="n"/>
      <c r="G27" s="35" t="n"/>
      <c r="H27" s="36" t="n"/>
      <c r="I27" s="37" t="n"/>
      <c r="J27" s="38" t="n"/>
      <c r="K27" s="131" t="n"/>
      <c r="L27" s="40" t="n"/>
      <c r="M27" s="41" t="n"/>
      <c r="N27" s="42" t="n">
        <v>452</v>
      </c>
      <c r="O27" s="255" t="n">
        <v>5620</v>
      </c>
      <c r="P27" s="44" t="n"/>
      <c r="Q27" s="311" t="n"/>
      <c r="R27" s="46">
        <f>IFERROR(N27/O27,"")</f>
        <v/>
      </c>
      <c r="S27" s="46">
        <f>IFERROR(P27/Q27,"")</f>
        <v/>
      </c>
      <c r="T27" s="47" t="n"/>
      <c r="U27" s="48" t="n"/>
      <c r="V27" s="49">
        <f>IFERROR(U27/T27,"")</f>
        <v/>
      </c>
      <c r="W27" s="50" t="n"/>
      <c r="X27" s="262" t="inlineStr">
        <is>
          <t>Слабый конкурент</t>
        </is>
      </c>
    </row>
    <row r="28">
      <c r="A28" s="26">
        <f>IMAGE(C28)</f>
        <v/>
      </c>
      <c r="B28" s="28" t="inlineStr">
        <is>
          <t>https://medakt.ru/</t>
        </is>
      </c>
      <c r="C28" s="31">
        <f>"https://www.google.com/s2/favicons?domain="&amp;B28</f>
        <v/>
      </c>
      <c r="D28" s="31">
        <f>"https://a.pr-cy.ru/"&amp;IF(ISERROR(FIND("//www.",B28)),MID(B28,FIND(":",B28,4)+3,FIND("/",B28,9)-FIND(":",B28,4)-3),MID(B28,FIND(":",B28,4)+7,FIND("/",B28,9)-FIND(":",B28,4)-7))&amp;"/"</f>
        <v/>
      </c>
      <c r="E28" s="33" t="n"/>
      <c r="F28" s="34" t="n"/>
      <c r="G28" s="35" t="n"/>
      <c r="H28" s="36" t="n"/>
      <c r="I28" s="37" t="n"/>
      <c r="J28" s="38" t="n"/>
      <c r="K28" s="131" t="n"/>
      <c r="L28" s="40" t="n"/>
      <c r="M28" s="41" t="n"/>
      <c r="N28" s="42" t="n">
        <v>424</v>
      </c>
      <c r="O28" s="255" t="n">
        <v>4993</v>
      </c>
      <c r="P28" s="44" t="n"/>
      <c r="Q28" s="311" t="n"/>
      <c r="R28" s="46">
        <f>IFERROR(N28/O28,"")</f>
        <v/>
      </c>
      <c r="S28" s="46">
        <f>IFERROR(P28/Q28,"")</f>
        <v/>
      </c>
      <c r="T28" s="47" t="n"/>
      <c r="U28" s="48" t="n"/>
      <c r="V28" s="49">
        <f>IFERROR(U28/T28,"")</f>
        <v/>
      </c>
      <c r="W28" s="50" t="n"/>
      <c r="X28" s="262" t="inlineStr">
        <is>
          <t>Слабый конкурент</t>
        </is>
      </c>
    </row>
    <row r="29">
      <c r="A29" s="26">
        <f>IMAGE(C29)</f>
        <v/>
      </c>
      <c r="B29" s="28" t="inlineStr">
        <is>
          <t>https://salusmed.spb.ru/</t>
        </is>
      </c>
      <c r="C29" s="31">
        <f>"https://www.google.com/s2/favicons?domain="&amp;B29</f>
        <v/>
      </c>
      <c r="D29" s="31">
        <f>"https://a.pr-cy.ru/"&amp;IF(ISERROR(FIND("//www.",B29)),MID(B29,FIND(":",B29,4)+3,FIND("/",B29,9)-FIND(":",B29,4)-3),MID(B29,FIND(":",B29,4)+7,FIND("/",B29,9)-FIND(":",B29,4)-7))&amp;"/"</f>
        <v/>
      </c>
      <c r="E29" s="33" t="n"/>
      <c r="F29" s="34" t="n"/>
      <c r="G29" s="35" t="n"/>
      <c r="H29" s="36" t="n"/>
      <c r="I29" s="37" t="n"/>
      <c r="J29" s="38" t="n"/>
      <c r="K29" s="131" t="n"/>
      <c r="L29" s="40" t="n"/>
      <c r="M29" s="41" t="n"/>
      <c r="N29" s="42" t="n">
        <v>404</v>
      </c>
      <c r="O29" s="255" t="n">
        <v>15980</v>
      </c>
      <c r="P29" s="44" t="n"/>
      <c r="Q29" s="311" t="n"/>
      <c r="R29" s="46">
        <f>IFERROR(N29/O29,"")</f>
        <v/>
      </c>
      <c r="S29" s="46">
        <f>IFERROR(P29/Q29,"")</f>
        <v/>
      </c>
      <c r="T29" s="47" t="n"/>
      <c r="U29" s="48" t="n"/>
      <c r="V29" s="49">
        <f>IFERROR(U29/T29,"")</f>
        <v/>
      </c>
      <c r="W29" s="50" t="n"/>
      <c r="X29" s="262" t="inlineStr">
        <is>
          <t>Слабый конкурент</t>
        </is>
      </c>
    </row>
    <row r="30">
      <c r="A30" s="26">
        <f>IMAGE(C30)</f>
        <v/>
      </c>
      <c r="B30" s="28" t="inlineStr">
        <is>
          <t>https://gm-med.ru/</t>
        </is>
      </c>
      <c r="C30" s="31">
        <f>"https://www.google.com/s2/favicons?domain="&amp;B30</f>
        <v/>
      </c>
      <c r="D30" s="31">
        <f>"https://a.pr-cy.ru/"&amp;IF(ISERROR(FIND("//www.",B30)),MID(B30,FIND(":",B30,4)+3,FIND("/",B30,9)-FIND(":",B30,4)-3),MID(B30,FIND(":",B30,4)+7,FIND("/",B30,9)-FIND(":",B30,4)-7))&amp;"/"</f>
        <v/>
      </c>
      <c r="E30" s="33" t="n"/>
      <c r="F30" s="34" t="n"/>
      <c r="G30" s="35" t="n"/>
      <c r="H30" s="36" t="n"/>
      <c r="I30" s="37" t="n"/>
      <c r="J30" s="38" t="n"/>
      <c r="K30" s="131" t="n"/>
      <c r="L30" s="40" t="n"/>
      <c r="M30" s="41" t="n"/>
      <c r="N30" s="42" t="n">
        <v>259</v>
      </c>
      <c r="O30" s="255" t="n">
        <v>6245</v>
      </c>
      <c r="P30" s="44" t="n"/>
      <c r="Q30" s="311" t="n"/>
      <c r="R30" s="46">
        <f>IFERROR(N30/O30,"")</f>
        <v/>
      </c>
      <c r="S30" s="46">
        <f>IFERROR(P30/Q30,"")</f>
        <v/>
      </c>
      <c r="T30" s="47" t="n"/>
      <c r="U30" s="48" t="n"/>
      <c r="V30" s="49">
        <f>IFERROR(U30/T30,"")</f>
        <v/>
      </c>
      <c r="W30" s="50" t="n"/>
      <c r="X30" s="262" t="inlineStr">
        <is>
          <t>Слабый конкурент</t>
        </is>
      </c>
    </row>
    <row r="31">
      <c r="A31" s="26">
        <f>IMAGE(C31)</f>
        <v/>
      </c>
      <c r="B31" s="28" t="inlineStr">
        <is>
          <t>https://medmetr.ru/</t>
        </is>
      </c>
      <c r="C31" s="31">
        <f>"https://www.google.com/s2/favicons?domain="&amp;B31</f>
        <v/>
      </c>
      <c r="D31" s="31">
        <f>"https://a.pr-cy.ru/"&amp;IF(ISERROR(FIND("//www.",B31)),MID(B31,FIND(":",B31,4)+3,FIND("/",B31,9)-FIND(":",B31,4)-3),MID(B31,FIND(":",B31,4)+7,FIND("/",B31,9)-FIND(":",B31,4)-7))&amp;"/"</f>
        <v/>
      </c>
      <c r="E31" s="33" t="n"/>
      <c r="F31" s="34" t="n"/>
      <c r="G31" s="35" t="n"/>
      <c r="H31" s="36" t="n"/>
      <c r="I31" s="37" t="n"/>
      <c r="J31" s="38" t="n"/>
      <c r="K31" s="131" t="n"/>
      <c r="L31" s="40" t="n"/>
      <c r="M31" s="41" t="n"/>
      <c r="N31" s="42" t="n">
        <v>255</v>
      </c>
      <c r="O31" s="255" t="n">
        <v>5485</v>
      </c>
      <c r="P31" s="44" t="n"/>
      <c r="Q31" s="311" t="n"/>
      <c r="R31" s="46">
        <f>IFERROR(N31/O31,"")</f>
        <v/>
      </c>
      <c r="S31" s="46">
        <f>IFERROR(P31/Q31,"")</f>
        <v/>
      </c>
      <c r="T31" s="47" t="n"/>
      <c r="U31" s="48" t="n"/>
      <c r="V31" s="49">
        <f>IFERROR(U31/T31,"")</f>
        <v/>
      </c>
      <c r="W31" s="50" t="n"/>
      <c r="X31" s="262" t="inlineStr">
        <is>
          <t>Слабый конкурент</t>
        </is>
      </c>
    </row>
    <row r="32">
      <c r="A32" s="26">
        <f>IMAGE(C32)</f>
        <v/>
      </c>
      <c r="B32" s="28" t="inlineStr">
        <is>
          <t>https://gnkmed.ru/</t>
        </is>
      </c>
      <c r="C32" s="31">
        <f>"https://www.google.com/s2/favicons?domain="&amp;B32</f>
        <v/>
      </c>
      <c r="D32" s="31">
        <f>"https://a.pr-cy.ru/"&amp;IF(ISERROR(FIND("//www.",B32)),MID(B32,FIND(":",B32,4)+3,FIND("/",B32,9)-FIND(":",B32,4)-3),MID(B32,FIND(":",B32,4)+7,FIND("/",B32,9)-FIND(":",B32,4)-7))&amp;"/"</f>
        <v/>
      </c>
      <c r="E32" s="33" t="n"/>
      <c r="F32" s="34" t="n"/>
      <c r="G32" s="35" t="n"/>
      <c r="H32" s="36" t="n"/>
      <c r="I32" s="37" t="n"/>
      <c r="J32" s="38" t="n"/>
      <c r="K32" s="131" t="n"/>
      <c r="L32" s="40" t="n"/>
      <c r="M32" s="41" t="n"/>
      <c r="N32" s="42" t="n">
        <v>229</v>
      </c>
      <c r="O32" s="255" t="n">
        <v>1818</v>
      </c>
      <c r="P32" s="44" t="n"/>
      <c r="Q32" s="311" t="n"/>
      <c r="R32" s="46">
        <f>IFERROR(N32/O32,"")</f>
        <v/>
      </c>
      <c r="S32" s="46">
        <f>IFERROR(P32/Q32,"")</f>
        <v/>
      </c>
      <c r="T32" s="47" t="n"/>
      <c r="U32" s="48" t="n"/>
      <c r="V32" s="49">
        <f>IFERROR(U32/T32,"")</f>
        <v/>
      </c>
      <c r="W32" s="50" t="n"/>
      <c r="X32" s="262" t="inlineStr">
        <is>
          <t>Слабый конкурент</t>
        </is>
      </c>
    </row>
    <row r="33">
      <c r="A33" s="26">
        <f>IMAGE(C33)</f>
        <v/>
      </c>
      <c r="B33" s="28" t="inlineStr">
        <is>
          <t>https://dixion.ru/</t>
        </is>
      </c>
      <c r="C33" s="31">
        <f>"https://www.google.com/s2/favicons?domain="&amp;B33</f>
        <v/>
      </c>
      <c r="D33" s="31">
        <f>"https://a.pr-cy.ru/"&amp;IF(ISERROR(FIND("//www.",B33)),MID(B33,FIND(":",B33,4)+3,FIND("/",B33,9)-FIND(":",B33,4)-3),MID(B33,FIND(":",B33,4)+7,FIND("/",B33,9)-FIND(":",B33,4)-7))&amp;"/"</f>
        <v/>
      </c>
      <c r="E33" s="33" t="n"/>
      <c r="F33" s="34" t="n"/>
      <c r="G33" s="35" t="n"/>
      <c r="H33" s="36" t="n"/>
      <c r="I33" s="37" t="n"/>
      <c r="J33" s="38" t="n"/>
      <c r="K33" s="131" t="n"/>
      <c r="L33" s="40" t="n"/>
      <c r="M33" s="41" t="n"/>
      <c r="N33" s="42" t="n">
        <v>229</v>
      </c>
      <c r="O33" s="255" t="n">
        <v>2752</v>
      </c>
      <c r="P33" s="44" t="n"/>
      <c r="Q33" s="311" t="n"/>
      <c r="R33" s="46">
        <f>IFERROR(N33/O33,"")</f>
        <v/>
      </c>
      <c r="S33" s="46">
        <f>IFERROR(P33/Q33,"")</f>
        <v/>
      </c>
      <c r="T33" s="47" t="n"/>
      <c r="U33" s="48" t="n"/>
      <c r="V33" s="49">
        <f>IFERROR(U33/T33,"")</f>
        <v/>
      </c>
      <c r="W33" s="50" t="n"/>
      <c r="X33" s="262" t="inlineStr">
        <is>
          <t>Слабый конкурент</t>
        </is>
      </c>
    </row>
    <row r="34">
      <c r="A34" s="26">
        <f>IMAGE(C34)</f>
        <v/>
      </c>
      <c r="B34" s="28" t="inlineStr">
        <is>
          <t>https://lotem.ru/</t>
        </is>
      </c>
      <c r="C34" s="31">
        <f>"https://www.google.com/s2/favicons?domain="&amp;B34</f>
        <v/>
      </c>
      <c r="D34" s="31">
        <f>"https://a.pr-cy.ru/"&amp;IF(ISERROR(FIND("//www.",B34)),MID(B34,FIND(":",B34,4)+3,FIND("/",B34,9)-FIND(":",B34,4)-3),MID(B34,FIND(":",B34,4)+7,FIND("/",B34,9)-FIND(":",B34,4)-7))&amp;"/"</f>
        <v/>
      </c>
      <c r="E34" s="33" t="n"/>
      <c r="F34" s="34" t="n"/>
      <c r="G34" s="35" t="n"/>
      <c r="H34" s="36" t="n"/>
      <c r="I34" s="37" t="n"/>
      <c r="J34" s="38" t="n"/>
      <c r="K34" s="131" t="n"/>
      <c r="L34" s="40" t="n"/>
      <c r="M34" s="41" t="n"/>
      <c r="N34" s="42" t="n">
        <v>199</v>
      </c>
      <c r="O34" s="255" t="n">
        <v>1783</v>
      </c>
      <c r="P34" s="44" t="n"/>
      <c r="Q34" s="311" t="n"/>
      <c r="R34" s="46">
        <f>IFERROR(N34/O34,"")</f>
        <v/>
      </c>
      <c r="S34" s="46">
        <f>IFERROR(P34/Q34,"")</f>
        <v/>
      </c>
      <c r="T34" s="47" t="n"/>
      <c r="U34" s="48" t="n"/>
      <c r="V34" s="49">
        <f>IFERROR(U34/T34,"")</f>
        <v/>
      </c>
      <c r="W34" s="50" t="n"/>
      <c r="X34" s="262" t="inlineStr">
        <is>
          <t>Слабый конкурент</t>
        </is>
      </c>
    </row>
    <row r="35">
      <c r="A35" s="26">
        <f>IMAGE(C35)</f>
        <v/>
      </c>
      <c r="B35" s="28" t="inlineStr">
        <is>
          <t>https://meditems.ru/</t>
        </is>
      </c>
      <c r="C35" s="31">
        <f>"https://www.google.com/s2/favicons?domain="&amp;B35</f>
        <v/>
      </c>
      <c r="D35" s="31">
        <f>"https://a.pr-cy.ru/"&amp;IF(ISERROR(FIND("//www.",B35)),MID(B35,FIND(":",B35,4)+3,FIND("/",B35,9)-FIND(":",B35,4)-3),MID(B35,FIND(":",B35,4)+7,FIND("/",B35,9)-FIND(":",B35,4)-7))&amp;"/"</f>
        <v/>
      </c>
      <c r="E35" s="33" t="n"/>
      <c r="F35" s="34" t="n"/>
      <c r="G35" s="35" t="n"/>
      <c r="H35" s="36" t="n"/>
      <c r="I35" s="37" t="n"/>
      <c r="J35" s="38" t="n"/>
      <c r="K35" s="131" t="n"/>
      <c r="L35" s="40" t="n"/>
      <c r="M35" s="41" t="n"/>
      <c r="N35" s="42" t="n">
        <v>176</v>
      </c>
      <c r="O35" s="255" t="n">
        <v>9245</v>
      </c>
      <c r="P35" s="44" t="n"/>
      <c r="Q35" s="311" t="n"/>
      <c r="R35" s="46">
        <f>IFERROR(N35/O35,"")</f>
        <v/>
      </c>
      <c r="S35" s="46">
        <f>IFERROR(P35/Q35,"")</f>
        <v/>
      </c>
      <c r="T35" s="47" t="n"/>
      <c r="U35" s="48" t="n"/>
      <c r="V35" s="49">
        <f>IFERROR(U35/T35,"")</f>
        <v/>
      </c>
      <c r="W35" s="50" t="n"/>
      <c r="X35" s="262" t="inlineStr">
        <is>
          <t>Слабый конкурент</t>
        </is>
      </c>
    </row>
    <row r="36">
      <c r="A36" s="26">
        <f>IMAGE(C36)</f>
        <v/>
      </c>
      <c r="B36" s="28" t="inlineStr">
        <is>
          <t>https://fujitora.com/</t>
        </is>
      </c>
      <c r="C36" s="31">
        <f>"https://www.google.com/s2/favicons?domain="&amp;B36</f>
        <v/>
      </c>
      <c r="D36" s="31">
        <f>"https://a.pr-cy.ru/"&amp;IF(ISERROR(FIND("//www.",B36)),MID(B36,FIND(":",B36,4)+3,FIND("/",B36,9)-FIND(":",B36,4)-3),MID(B36,FIND(":",B36,4)+7,FIND("/",B36,9)-FIND(":",B36,4)-7))&amp;"/"</f>
        <v/>
      </c>
      <c r="E36" s="33" t="n"/>
      <c r="F36" s="34" t="n"/>
      <c r="G36" s="35" t="n"/>
      <c r="H36" s="36" t="n"/>
      <c r="I36" s="37" t="n"/>
      <c r="J36" s="38" t="n"/>
      <c r="K36" s="131" t="n"/>
      <c r="L36" s="40" t="n"/>
      <c r="M36" s="41" t="n"/>
      <c r="N36" s="42" t="n">
        <v>148</v>
      </c>
      <c r="O36" s="255" t="n">
        <v>3012</v>
      </c>
      <c r="P36" s="44" t="n"/>
      <c r="Q36" s="311" t="n"/>
      <c r="R36" s="46">
        <f>IFERROR(N36/O36,"")</f>
        <v/>
      </c>
      <c r="S36" s="46">
        <f>IFERROR(P36/Q36,"")</f>
        <v/>
      </c>
      <c r="T36" s="47" t="n"/>
      <c r="U36" s="48" t="n"/>
      <c r="V36" s="49">
        <f>IFERROR(U36/T36,"")</f>
        <v/>
      </c>
      <c r="W36" s="50" t="n"/>
      <c r="X36" s="262" t="inlineStr">
        <is>
          <t>Слабый конкурент</t>
        </is>
      </c>
    </row>
    <row r="37">
      <c r="A37" s="26">
        <f>IMAGE(C37)</f>
        <v/>
      </c>
      <c r="B37" s="28" t="inlineStr">
        <is>
          <t>https://rusmedcompany.ru/</t>
        </is>
      </c>
      <c r="C37" s="31">
        <f>"https://www.google.com/s2/favicons?domain="&amp;B37</f>
        <v/>
      </c>
      <c r="D37" s="31">
        <f>"https://a.pr-cy.ru/"&amp;IF(ISERROR(FIND("//www.",B37)),MID(B37,FIND(":",B37,4)+3,FIND("/",B37,9)-FIND(":",B37,4)-3),MID(B37,FIND(":",B37,4)+7,FIND("/",B37,9)-FIND(":",B37,4)-7))&amp;"/"</f>
        <v/>
      </c>
      <c r="E37" s="33" t="n"/>
      <c r="F37" s="34" t="n"/>
      <c r="G37" s="35" t="n"/>
      <c r="H37" s="36" t="n"/>
      <c r="I37" s="37" t="n"/>
      <c r="J37" s="38" t="n"/>
      <c r="K37" s="131" t="n"/>
      <c r="L37" s="40" t="n"/>
      <c r="M37" s="41" t="n"/>
      <c r="N37" s="42" t="n">
        <v>108</v>
      </c>
      <c r="O37" s="255" t="n">
        <v>7086</v>
      </c>
      <c r="P37" s="44" t="n"/>
      <c r="Q37" s="311" t="n"/>
      <c r="R37" s="46">
        <f>IFERROR(N37/O37,"")</f>
        <v/>
      </c>
      <c r="S37" s="46">
        <f>IFERROR(P37/Q37,"")</f>
        <v/>
      </c>
      <c r="T37" s="47" t="n"/>
      <c r="U37" s="48" t="n"/>
      <c r="V37" s="49">
        <f>IFERROR(U37/T37,"")</f>
        <v/>
      </c>
      <c r="W37" s="50" t="n"/>
      <c r="X37" s="262" t="inlineStr">
        <is>
          <t>Слабый конкурент</t>
        </is>
      </c>
    </row>
    <row r="38">
      <c r="A38" s="26">
        <f>IMAGE(C38)</f>
        <v/>
      </c>
      <c r="B38" s="28" t="inlineStr">
        <is>
          <t>https://gsmedicine.ru/</t>
        </is>
      </c>
      <c r="C38" s="31">
        <f>"https://www.google.com/s2/favicons?domain="&amp;B38</f>
        <v/>
      </c>
      <c r="D38" s="31">
        <f>"https://a.pr-cy.ru/"&amp;IF(ISERROR(FIND("//www.",B38)),MID(B38,FIND(":",B38,4)+3,FIND("/",B38,9)-FIND(":",B38,4)-3),MID(B38,FIND(":",B38,4)+7,FIND("/",B38,9)-FIND(":",B38,4)-7))&amp;"/"</f>
        <v/>
      </c>
      <c r="E38" s="33" t="n"/>
      <c r="F38" s="34" t="n"/>
      <c r="G38" s="35" t="n"/>
      <c r="H38" s="36" t="n"/>
      <c r="I38" s="37" t="n"/>
      <c r="J38" s="38" t="n"/>
      <c r="K38" s="131" t="n"/>
      <c r="L38" s="40" t="n"/>
      <c r="M38" s="41" t="n"/>
      <c r="N38" s="42" t="n">
        <v>33</v>
      </c>
      <c r="O38" s="255" t="n">
        <v>722</v>
      </c>
      <c r="P38" s="44" t="n"/>
      <c r="Q38" s="311" t="n"/>
      <c r="R38" s="46">
        <f>IFERROR(N38/O38,"")</f>
        <v/>
      </c>
      <c r="S38" s="46">
        <f>IFERROR(P38/Q38,"")</f>
        <v/>
      </c>
      <c r="T38" s="47" t="n"/>
      <c r="U38" s="48" t="n"/>
      <c r="V38" s="49">
        <f>IFERROR(U38/T38,"")</f>
        <v/>
      </c>
      <c r="W38" s="50" t="n"/>
      <c r="X38" s="262" t="inlineStr">
        <is>
          <t>Слабый конкурент</t>
        </is>
      </c>
    </row>
    <row r="39">
      <c r="A39" s="26">
        <f>IMAGE(C39)</f>
        <v/>
      </c>
      <c r="B39" s="28" t="inlineStr">
        <is>
          <t>https://eurotech.ru/</t>
        </is>
      </c>
      <c r="C39" s="31">
        <f>"https://www.google.com/s2/favicons?domain="&amp;B39</f>
        <v/>
      </c>
      <c r="D39" s="31">
        <f>"https://a.pr-cy.ru/"&amp;IF(ISERROR(FIND("//www.",B39)),MID(B39,FIND(":",B39,4)+3,FIND("/",B39,9)-FIND(":",B39,4)-3),MID(B39,FIND(":",B39,4)+7,FIND("/",B39,9)-FIND(":",B39,4)-7))&amp;"/"</f>
        <v/>
      </c>
      <c r="E39" s="33" t="n"/>
      <c r="F39" s="34" t="n"/>
      <c r="G39" s="35" t="n"/>
      <c r="H39" s="36" t="n"/>
      <c r="I39" s="37" t="n"/>
      <c r="J39" s="38" t="n"/>
      <c r="K39" s="131" t="n"/>
      <c r="L39" s="40" t="n"/>
      <c r="M39" s="41" t="n"/>
      <c r="N39" s="42" t="n">
        <v>17</v>
      </c>
      <c r="O39" s="255" t="n">
        <v>216</v>
      </c>
      <c r="P39" s="44" t="n"/>
      <c r="Q39" s="311" t="n"/>
      <c r="R39" s="46">
        <f>IFERROR(N39/O39,"")</f>
        <v/>
      </c>
      <c r="S39" s="46">
        <f>IFERROR(P39/Q39,"")</f>
        <v/>
      </c>
      <c r="T39" s="47" t="n"/>
      <c r="U39" s="48" t="n"/>
      <c r="V39" s="49">
        <f>IFERROR(U39/T39,"")</f>
        <v/>
      </c>
      <c r="W39" s="50" t="n"/>
      <c r="X39" s="262" t="inlineStr">
        <is>
          <t>Слабый конкурент</t>
        </is>
      </c>
    </row>
    <row r="40">
      <c r="A40" s="26">
        <f>IMAGE(C40)</f>
        <v/>
      </c>
      <c r="B40" s="28" t="inlineStr">
        <is>
          <t>https://ro-med.ru/</t>
        </is>
      </c>
      <c r="C40" s="31">
        <f>"https://www.google.com/s2/favicons?domain="&amp;B40</f>
        <v/>
      </c>
      <c r="D40" s="31">
        <f>"https://a.pr-cy.ru/"&amp;IF(ISERROR(FIND("//www.",B40)),MID(B40,FIND(":",B40,4)+3,FIND("/",B40,9)-FIND(":",B40,4)-3),MID(B40,FIND(":",B40,4)+7,FIND("/",B40,9)-FIND(":",B40,4)-7))&amp;"/"</f>
        <v/>
      </c>
      <c r="E40" s="33" t="n"/>
      <c r="F40" s="34" t="n"/>
      <c r="G40" s="35" t="n"/>
      <c r="H40" s="36" t="n"/>
      <c r="I40" s="37" t="n"/>
      <c r="J40" s="38" t="n"/>
      <c r="K40" s="131" t="n"/>
      <c r="L40" s="40" t="n"/>
      <c r="M40" s="41" t="n"/>
      <c r="N40" s="42" t="n">
        <v>2</v>
      </c>
      <c r="O40" s="255" t="n">
        <v>324</v>
      </c>
      <c r="P40" s="44" t="n"/>
      <c r="Q40" s="311" t="n"/>
      <c r="R40" s="46">
        <f>IFERROR(N40/O40,"")</f>
        <v/>
      </c>
      <c r="S40" s="46">
        <f>IFERROR(P40/Q40,"")</f>
        <v/>
      </c>
      <c r="T40" s="47" t="n"/>
      <c r="U40" s="48" t="n"/>
      <c r="V40" s="49">
        <f>IFERROR(U40/T40,"")</f>
        <v/>
      </c>
      <c r="W40" s="50" t="n"/>
      <c r="X40" s="262" t="inlineStr">
        <is>
          <t>Слабый конкурент</t>
        </is>
      </c>
    </row>
    <row r="41">
      <c r="A41" s="26">
        <f>IMAGE(C41)</f>
        <v/>
      </c>
      <c r="B41" s="28" t="inlineStr">
        <is>
          <t>https://intelmed.ru/</t>
        </is>
      </c>
      <c r="C41" s="31">
        <f>"https://www.google.com/s2/favicons?domain="&amp;B41</f>
        <v/>
      </c>
      <c r="D41" s="31">
        <f>"https://a.pr-cy.ru/"&amp;IF(ISERROR(FIND("//www.",B41)),MID(B41,FIND(":",B41,4)+3,FIND("/",B41,9)-FIND(":",B41,4)-3),MID(B41,FIND(":",B41,4)+7,FIND("/",B41,9)-FIND(":",B41,4)-7))&amp;"/"</f>
        <v/>
      </c>
      <c r="E41" s="33" t="n"/>
      <c r="F41" s="34" t="n"/>
      <c r="G41" s="35" t="n"/>
      <c r="H41" s="36" t="n"/>
      <c r="I41" s="37" t="n"/>
      <c r="J41" s="38" t="n"/>
      <c r="K41" s="131" t="n"/>
      <c r="L41" s="40" t="n"/>
      <c r="M41" s="41" t="n"/>
      <c r="N41" s="42" t="n"/>
      <c r="O41" s="255" t="n"/>
      <c r="P41" s="44" t="n"/>
      <c r="Q41" s="311" t="n"/>
      <c r="R41" s="46">
        <f>IFERROR(N41/O41,"")</f>
        <v/>
      </c>
      <c r="S41" s="46">
        <f>IFERROR(P41/Q41,"")</f>
        <v/>
      </c>
      <c r="T41" s="47" t="n"/>
      <c r="U41" s="48" t="n"/>
      <c r="V41" s="49">
        <f>IFERROR(U41/T41,"")</f>
        <v/>
      </c>
      <c r="W41" s="50" t="n"/>
      <c r="X41" s="262" t="inlineStr">
        <is>
          <t>Более широкий конкурент</t>
        </is>
      </c>
    </row>
    <row r="42">
      <c r="A42" s="26">
        <f>IMAGE(C42)</f>
        <v/>
      </c>
      <c r="B42" s="28" t="inlineStr">
        <is>
          <t>https://kriptomed.ru/</t>
        </is>
      </c>
      <c r="C42" s="31">
        <f>"https://www.google.com/s2/favicons?domain="&amp;B42</f>
        <v/>
      </c>
      <c r="D42" s="31">
        <f>"https://a.pr-cy.ru/"&amp;IF(ISERROR(FIND("//www.",B42)),MID(B42,FIND(":",B42,4)+3,FIND("/",B42,9)-FIND(":",B42,4)-3),MID(B42,FIND(":",B42,4)+7,FIND("/",B42,9)-FIND(":",B42,4)-7))&amp;"/"</f>
        <v/>
      </c>
      <c r="E42" s="33" t="n"/>
      <c r="F42" s="34" t="n"/>
      <c r="G42" s="35" t="n"/>
      <c r="H42" s="36" t="n"/>
      <c r="I42" s="37" t="n"/>
      <c r="J42" s="38" t="n"/>
      <c r="K42" s="131" t="n"/>
      <c r="L42" s="40" t="n"/>
      <c r="M42" s="41" t="n"/>
      <c r="N42" s="42" t="n"/>
      <c r="O42" s="255" t="n"/>
      <c r="P42" s="44" t="n"/>
      <c r="Q42" s="311" t="n"/>
      <c r="R42" s="46">
        <f>IFERROR(N42/O42,"")</f>
        <v/>
      </c>
      <c r="S42" s="46">
        <f>IFERROR(P42/Q42,"")</f>
        <v/>
      </c>
      <c r="T42" s="47" t="n"/>
      <c r="U42" s="48" t="n"/>
      <c r="V42" s="49">
        <f>IFERROR(U42/T42,"")</f>
        <v/>
      </c>
      <c r="W42" s="50" t="n"/>
      <c r="X42" s="262" t="inlineStr">
        <is>
          <t>Более широкий конкурент</t>
        </is>
      </c>
    </row>
    <row r="43">
      <c r="A43" s="26">
        <f>IMAGE(C43)</f>
        <v/>
      </c>
      <c r="B43" s="340" t="inlineStr">
        <is>
          <t>Медиана (по лидерам)</t>
        </is>
      </c>
      <c r="C43" s="340" t="n"/>
      <c r="D43" s="340" t="n"/>
      <c r="E43" s="336">
        <f>IFERROR(MEDIAN(E2:E42),"")</f>
        <v/>
      </c>
      <c r="F43" s="337">
        <f>IFERROR(MEDIAN(F2:F42),"")</f>
        <v/>
      </c>
      <c r="G43" s="337">
        <f>IFERROR(MEDIAN(G2:G42),"")</f>
        <v/>
      </c>
      <c r="H43" s="337">
        <f>IFERROR(MEDIAN(H2:H42),"")</f>
        <v/>
      </c>
      <c r="I43" s="338">
        <f>IFERROR(MEDIAN(I2:I42),"")</f>
        <v/>
      </c>
      <c r="J43" s="337">
        <f>IFERROR(MEDIAN(J2:J42),"")</f>
        <v/>
      </c>
      <c r="K43" s="339" t="n"/>
      <c r="L43" s="337">
        <f>IFERROR(MEDIAN(L2:L42),"")</f>
        <v/>
      </c>
      <c r="M43" s="340" t="n"/>
      <c r="N43" s="337">
        <f t="array" ref="N43">MEDIAN(IF(X2:X42=" Лидер",N2:N42))</f>
        <v/>
      </c>
      <c r="O43" s="337">
        <f t="array" ref="O43">MEDIAN(IF(X2:X42=" Лидер",O2:O42))</f>
        <v/>
      </c>
      <c r="P43" s="337">
        <f>IFERROR(MEDIAN(P2:P42),"")</f>
        <v/>
      </c>
      <c r="Q43" s="337">
        <f>IFERROR(MEDIAN(Q2:Q42),"")</f>
        <v/>
      </c>
      <c r="R43" s="341">
        <f>N43/O43</f>
        <v/>
      </c>
      <c r="S43" s="341">
        <f>IFERROR(MEDIAN(S2:S42),"")</f>
        <v/>
      </c>
      <c r="T43" s="336">
        <f>IFERROR(MEDIAN(T2:T42),"")</f>
        <v/>
      </c>
      <c r="U43" s="337">
        <f>IFERROR(MEDIAN(U2:U42),"")</f>
        <v/>
      </c>
      <c r="V43" s="337">
        <f>IFERROR(MEDIAN(V2:V42),"")</f>
        <v/>
      </c>
      <c r="W43" s="338">
        <f>IFERROR(MEDIAN(W2:W42),"")</f>
        <v/>
      </c>
      <c r="X43" s="340" t="n"/>
    </row>
    <row r="44">
      <c r="A44" s="26">
        <f>IMAGE(C44)</f>
        <v/>
      </c>
      <c r="B44" s="28" t="inlineStr">
        <is>
          <t>https://reiginmed.ru/</t>
        </is>
      </c>
      <c r="C44" s="342">
        <f>"https://www.google.com/s2/favicons?domain="&amp;B44</f>
        <v/>
      </c>
      <c r="D44" s="342">
        <f>"https://a.pr-cy.ru/"&amp;IF(ISERROR(FIND("//www.",B44)),MID(B44,FIND(":",B44,4)+3,FIND("/",B44,9)-FIND(":",B44,4)-3),MID(B44,FIND(":",B44,4)+7,FIND("/",B44,9)-FIND(":",B44,4)-7))&amp;"/"</f>
        <v/>
      </c>
      <c r="E44" s="343" t="n"/>
      <c r="F44" s="344" t="n"/>
      <c r="G44" s="345" t="n"/>
      <c r="H44" s="344" t="n"/>
      <c r="I44" s="346" t="n"/>
      <c r="J44" s="348" t="n"/>
      <c r="K44" s="131" t="n"/>
      <c r="L44" s="348" t="n"/>
      <c r="M44" s="131" t="n"/>
      <c r="N44" s="348" t="n"/>
      <c r="O44" s="348" t="n"/>
      <c r="P44" s="348" t="n"/>
      <c r="Q44" s="348" t="n"/>
      <c r="R44" s="46">
        <f>IFERROR(N44/O44,"")</f>
        <v/>
      </c>
      <c r="S44" s="46">
        <f>IFERROR(P44/Q44,"")</f>
        <v/>
      </c>
      <c r="T44" s="349" t="n"/>
      <c r="U44" s="350" t="n"/>
      <c r="V44" s="351">
        <f>IFERROR(U44/T44,"")</f>
        <v/>
      </c>
      <c r="W44" s="352" t="n"/>
      <c r="X44" s="353" t="inlineStr">
        <is>
          <t>Наш сайт</t>
        </is>
      </c>
    </row>
  </sheetData>
  <autoFilter ref="A1:V44"/>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44"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t="inlineStr">
        <is>
          <t>dealmed.ru</t>
        </is>
      </c>
      <c r="B2" t="n">
        <v>1</v>
      </c>
      <c r="C2" t="n">
        <v>3</v>
      </c>
      <c r="D2" t="n">
        <v>111</v>
      </c>
      <c r="E2" t="n">
        <v>8095</v>
      </c>
      <c r="F2" t="n">
        <v>34000</v>
      </c>
      <c r="G2" t="n">
        <v>57843</v>
      </c>
      <c r="H2" t="n">
        <v>139372</v>
      </c>
      <c r="I2" t="inlineStr">
        <is>
          <t>https://dealmed.ru/ginekologicheskoe_oborudovanie.html</t>
        </is>
      </c>
    </row>
    <row r="3">
      <c r="A3" t="inlineStr">
        <is>
          <t>medcomp.ru</t>
        </is>
      </c>
      <c r="B3" t="n">
        <v>3</v>
      </c>
      <c r="C3" t="n">
        <v>1</v>
      </c>
      <c r="D3" t="n">
        <v>28</v>
      </c>
      <c r="E3" t="n">
        <v>3014</v>
      </c>
      <c r="F3" t="n">
        <v>12027</v>
      </c>
      <c r="G3" t="n">
        <v>18818</v>
      </c>
      <c r="H3" t="n">
        <v>42378</v>
      </c>
      <c r="I3" t="inlineStr">
        <is>
          <t>https://medcomp.ru/catalog/oborudovanie/akusherstvo-i-ginekologiya</t>
        </is>
      </c>
    </row>
    <row r="4">
      <c r="A4" t="inlineStr">
        <is>
          <t>medliga.ru</t>
        </is>
      </c>
      <c r="B4" t="n">
        <v>2</v>
      </c>
      <c r="C4" t="n">
        <v>1</v>
      </c>
      <c r="D4" t="n">
        <v>19</v>
      </c>
      <c r="E4" t="n">
        <v>4333</v>
      </c>
      <c r="F4" t="n">
        <v>8912</v>
      </c>
      <c r="G4" t="n">
        <v>11043</v>
      </c>
      <c r="H4" t="n">
        <v>17944</v>
      </c>
      <c r="I4" t="inlineStr">
        <is>
          <t>https://medliga.ru/catalog/ginekologiya</t>
        </is>
      </c>
    </row>
    <row r="5">
      <c r="A5" t="inlineStr">
        <is>
          <t>almamed.su</t>
        </is>
      </c>
      <c r="B5" t="n">
        <v>4</v>
      </c>
      <c r="C5" t="n">
        <v>1</v>
      </c>
      <c r="D5" t="n">
        <v>10</v>
      </c>
      <c r="E5" t="n">
        <v>672</v>
      </c>
      <c r="F5" t="n">
        <v>6795</v>
      </c>
      <c r="G5" t="n">
        <v>17379</v>
      </c>
      <c r="H5" t="n">
        <v>80522</v>
      </c>
      <c r="I5" t="inlineStr">
        <is>
          <t>https://almamed.su/category/ginekologiya</t>
        </is>
      </c>
    </row>
    <row r="6">
      <c r="A6" t="inlineStr">
        <is>
          <t>medcub.ru</t>
        </is>
      </c>
      <c r="B6" t="n">
        <v>18</v>
      </c>
      <c r="C6" t="n">
        <v>1</v>
      </c>
      <c r="D6" t="n">
        <v>12</v>
      </c>
      <c r="E6" t="n">
        <v>1297</v>
      </c>
      <c r="F6" t="n">
        <v>6373</v>
      </c>
      <c r="G6" t="n">
        <v>10031</v>
      </c>
      <c r="H6" t="n">
        <v>24331</v>
      </c>
      <c r="I6" t="inlineStr">
        <is>
          <t>https://medcub.ru/catalog/akusherstvo_i_ginekologiya</t>
        </is>
      </c>
    </row>
    <row r="7">
      <c r="A7" t="inlineStr">
        <is>
          <t>global-mt.ru</t>
        </is>
      </c>
      <c r="B7" t="n">
        <v>31</v>
      </c>
      <c r="C7" t="n">
        <v>1</v>
      </c>
      <c r="D7" t="n">
        <v>9</v>
      </c>
      <c r="E7" t="n">
        <v>1361</v>
      </c>
      <c r="F7" t="n">
        <v>6043</v>
      </c>
      <c r="G7" t="n">
        <v>9645</v>
      </c>
      <c r="H7" t="n">
        <v>19713</v>
      </c>
      <c r="I7" t="inlineStr">
        <is>
          <t>https://global-mt.ru/catalog/ginekologiya</t>
        </is>
      </c>
    </row>
    <row r="8">
      <c r="A8" t="inlineStr">
        <is>
          <t>gmk-kiel.ru</t>
        </is>
      </c>
      <c r="B8" t="n">
        <v>6</v>
      </c>
      <c r="C8" t="n">
        <v>1</v>
      </c>
      <c r="D8" t="n">
        <v>9</v>
      </c>
      <c r="E8" t="n">
        <v>907</v>
      </c>
      <c r="F8" t="n">
        <v>4514</v>
      </c>
      <c r="G8" t="n">
        <v>8074</v>
      </c>
      <c r="H8" t="n">
        <v>17901</v>
      </c>
      <c r="I8" t="inlineStr">
        <is>
          <t>https://gmk-kiel.ru/catalog/oborudovanie/akusherstvo-i-ginekologiya</t>
        </is>
      </c>
    </row>
    <row r="9">
      <c r="A9" t="inlineStr">
        <is>
          <t>cordismed.ru</t>
        </is>
      </c>
      <c r="B9" t="n">
        <v>5</v>
      </c>
      <c r="C9" t="n">
        <v>1</v>
      </c>
      <c r="D9" t="n">
        <v>3</v>
      </c>
      <c r="E9" t="n">
        <v>486</v>
      </c>
      <c r="F9" t="n">
        <v>2687</v>
      </c>
      <c r="G9" t="n">
        <v>5627</v>
      </c>
      <c r="H9" t="n">
        <v>18562</v>
      </c>
      <c r="I9" t="inlineStr">
        <is>
          <t>https://cordismed.ru/ginekologiya</t>
        </is>
      </c>
    </row>
    <row r="10">
      <c r="A10" t="inlineStr">
        <is>
          <t>medrk.ru</t>
        </is>
      </c>
      <c r="B10" t="n">
        <v>26</v>
      </c>
      <c r="C10" t="n">
        <v>1</v>
      </c>
      <c r="D10" t="n">
        <v>3</v>
      </c>
      <c r="E10" t="n">
        <v>421</v>
      </c>
      <c r="F10" t="n">
        <v>2671</v>
      </c>
      <c r="G10" t="n">
        <v>6184</v>
      </c>
      <c r="H10" t="n">
        <v>39793</v>
      </c>
      <c r="I10" t="inlineStr">
        <is>
          <t>https://medrk.ru/shop/ginekologiya</t>
        </is>
      </c>
    </row>
    <row r="11">
      <c r="A11" t="inlineStr">
        <is>
          <t>sterimed.ru</t>
        </is>
      </c>
      <c r="B11" t="n">
        <v>10</v>
      </c>
      <c r="C11" t="n">
        <v>1</v>
      </c>
      <c r="D11" t="n">
        <v>5</v>
      </c>
      <c r="E11" t="n">
        <v>282</v>
      </c>
      <c r="F11" t="n">
        <v>2595</v>
      </c>
      <c r="G11" t="n">
        <v>5515</v>
      </c>
      <c r="H11" t="n">
        <v>12635</v>
      </c>
      <c r="I11" t="inlineStr">
        <is>
          <t>https://sterimed.ru/catalog/akusherstvo_i_ginekologiya</t>
        </is>
      </c>
    </row>
    <row r="12">
      <c r="A12" t="inlineStr">
        <is>
          <t>ivlabmed.ru</t>
        </is>
      </c>
      <c r="B12" t="n">
        <v>12</v>
      </c>
      <c r="C12" t="n">
        <v>1</v>
      </c>
      <c r="D12" t="n">
        <v>3</v>
      </c>
      <c r="E12" t="n">
        <v>233</v>
      </c>
      <c r="F12" t="n">
        <v>2067</v>
      </c>
      <c r="G12" t="n">
        <v>5313</v>
      </c>
      <c r="H12" t="n">
        <v>17494</v>
      </c>
      <c r="I12" t="inlineStr">
        <is>
          <t>https://ivlabmed.ru/catalog/ginekologiya</t>
        </is>
      </c>
    </row>
    <row r="13">
      <c r="A13" t="inlineStr">
        <is>
          <t>medbuy.ru</t>
        </is>
      </c>
      <c r="B13" t="n">
        <v>15</v>
      </c>
      <c r="C13" t="n">
        <v>1</v>
      </c>
      <c r="D13" t="n">
        <v>3</v>
      </c>
      <c r="E13" t="n">
        <v>352</v>
      </c>
      <c r="F13" t="n">
        <v>1973</v>
      </c>
      <c r="G13" t="n">
        <v>4266</v>
      </c>
      <c r="H13" t="n">
        <v>19233</v>
      </c>
      <c r="I13" t="inlineStr">
        <is>
          <t>https://medbuy.ru/catalog/akusherskoe-i-ginekologicheskoe-oborudovanie</t>
        </is>
      </c>
    </row>
    <row r="14">
      <c r="A14" t="inlineStr">
        <is>
          <t>medpribor.pro</t>
        </is>
      </c>
      <c r="B14" t="n">
        <v>22</v>
      </c>
      <c r="C14" t="n">
        <v>1</v>
      </c>
      <c r="D14" t="n">
        <v>4</v>
      </c>
      <c r="E14" t="n">
        <v>317</v>
      </c>
      <c r="F14" t="n">
        <v>1826</v>
      </c>
      <c r="G14" t="n">
        <v>3899</v>
      </c>
      <c r="H14" t="n">
        <v>16120</v>
      </c>
      <c r="I14" t="inlineStr">
        <is>
          <t>https://medpribor.pro/pc/lpu/gynecological</t>
        </is>
      </c>
    </row>
    <row r="15">
      <c r="A15" t="inlineStr">
        <is>
          <t>medeq.ru</t>
        </is>
      </c>
      <c r="B15" t="n">
        <v>7</v>
      </c>
      <c r="C15" t="n">
        <v>1</v>
      </c>
      <c r="D15" t="n">
        <v>5</v>
      </c>
      <c r="E15" t="n">
        <v>237</v>
      </c>
      <c r="F15" t="n">
        <v>1795</v>
      </c>
      <c r="G15" t="n">
        <v>5100</v>
      </c>
      <c r="H15" t="n">
        <v>31655</v>
      </c>
      <c r="I15" t="inlineStr">
        <is>
          <t>https://medeq.ru/store/akusherstvo-i-ginekologiya</t>
        </is>
      </c>
    </row>
    <row r="16">
      <c r="A16" t="inlineStr">
        <is>
          <t>farm-invest.ru</t>
        </is>
      </c>
      <c r="B16" t="n">
        <v>16</v>
      </c>
      <c r="C16" t="n">
        <v>1</v>
      </c>
      <c r="D16" t="n">
        <v>2</v>
      </c>
      <c r="E16" t="n">
        <v>274</v>
      </c>
      <c r="F16" t="n">
        <v>1753</v>
      </c>
      <c r="G16" t="n">
        <v>3889</v>
      </c>
      <c r="H16" t="n">
        <v>14459</v>
      </c>
      <c r="I16" t="inlineStr">
        <is>
          <t>https://farm-invest.ru/catalog/akusherstvo-i-ginekologiya</t>
        </is>
      </c>
    </row>
    <row r="17">
      <c r="A17" t="inlineStr">
        <is>
          <t>uromed-m.ru</t>
        </is>
      </c>
      <c r="B17" t="n">
        <v>8</v>
      </c>
      <c r="C17" t="n">
        <v>1</v>
      </c>
      <c r="D17" t="n">
        <v>3</v>
      </c>
      <c r="E17" t="n">
        <v>224</v>
      </c>
      <c r="F17" t="n">
        <v>1209</v>
      </c>
      <c r="G17" t="n">
        <v>2427</v>
      </c>
      <c r="H17" t="n">
        <v>8364</v>
      </c>
      <c r="I17" t="inlineStr">
        <is>
          <t>https://uromed-m.ru/ginekologicheskoe-oborudovanie</t>
        </is>
      </c>
    </row>
    <row r="18">
      <c r="A18" t="inlineStr">
        <is>
          <t>ambimed.ru</t>
        </is>
      </c>
      <c r="B18" t="n">
        <v>17</v>
      </c>
      <c r="C18" t="n">
        <v>1</v>
      </c>
      <c r="D18" t="n">
        <v>3</v>
      </c>
      <c r="E18" t="n">
        <v>170</v>
      </c>
      <c r="F18" t="n">
        <v>1194</v>
      </c>
      <c r="G18" t="n">
        <v>3211</v>
      </c>
      <c r="H18" t="n">
        <v>21325</v>
      </c>
      <c r="I18" t="inlineStr">
        <is>
          <t>https://ambimed.ru/product/akusherstvo-i-ginekologiya</t>
        </is>
      </c>
    </row>
    <row r="19">
      <c r="A19" t="inlineStr">
        <is>
          <t>eurosmed.ru</t>
        </is>
      </c>
      <c r="B19" t="n">
        <v>13</v>
      </c>
      <c r="C19" t="n">
        <v>2</v>
      </c>
      <c r="D19" t="n">
        <v>1</v>
      </c>
      <c r="E19" t="n">
        <v>87</v>
      </c>
      <c r="F19" t="n">
        <v>971</v>
      </c>
      <c r="G19" t="n">
        <v>2980</v>
      </c>
      <c r="H19" t="n">
        <v>17394</v>
      </c>
      <c r="I19" t="inlineStr">
        <is>
          <t>https://eurosmed.ru/catalog/ginekologicheskoe_oborudovanie</t>
        </is>
      </c>
    </row>
    <row r="20">
      <c r="A20" t="inlineStr">
        <is>
          <t>vendem.ru</t>
        </is>
      </c>
      <c r="B20" t="n">
        <v>14</v>
      </c>
      <c r="C20" t="n">
        <v>1</v>
      </c>
      <c r="D20" t="n">
        <v>1</v>
      </c>
      <c r="E20" t="n">
        <v>55</v>
      </c>
      <c r="F20" t="n">
        <v>876</v>
      </c>
      <c r="G20" t="n">
        <v>2689</v>
      </c>
      <c r="H20" t="n">
        <v>13675</v>
      </c>
      <c r="I20" t="inlineStr">
        <is>
          <t>https://vendem.ru/catalog/akusherstvo_i_ginekologiya</t>
        </is>
      </c>
    </row>
    <row r="21">
      <c r="A21" t="inlineStr">
        <is>
          <t>redsrus.ru</t>
        </is>
      </c>
      <c r="B21" t="n">
        <v>38</v>
      </c>
      <c r="C21" t="n">
        <v>1</v>
      </c>
      <c r="D21" t="n">
        <v>1</v>
      </c>
      <c r="E21" t="n">
        <v>130</v>
      </c>
      <c r="F21" t="n">
        <v>858</v>
      </c>
      <c r="G21" t="n">
        <v>1959</v>
      </c>
      <c r="H21" t="n">
        <v>8125</v>
      </c>
      <c r="I21" t="inlineStr">
        <is>
          <t>https://redsrus.ru/product-category/mediczinskoe-osnashhenie/mediczinskoe-oborudovanie/ginekologicheskoe</t>
        </is>
      </c>
    </row>
    <row r="22">
      <c r="A22" t="inlineStr">
        <is>
          <t>lmed.ru</t>
        </is>
      </c>
      <c r="B22" t="n">
        <v>28</v>
      </c>
      <c r="C22" t="n">
        <v>1</v>
      </c>
      <c r="D22" t="n">
        <v>2</v>
      </c>
      <c r="E22" t="n">
        <v>101</v>
      </c>
      <c r="F22" t="n">
        <v>698</v>
      </c>
      <c r="G22" t="n">
        <v>1369</v>
      </c>
      <c r="H22" t="n">
        <v>6957</v>
      </c>
      <c r="I22" t="inlineStr">
        <is>
          <t>https://lmed.ru/product-category/akusherstvo-i-ginekologiya</t>
        </is>
      </c>
    </row>
    <row r="23">
      <c r="A23" t="inlineStr">
        <is>
          <t>medfregat.ru</t>
        </is>
      </c>
      <c r="B23" t="n">
        <v>11</v>
      </c>
      <c r="C23" t="n">
        <v>1</v>
      </c>
      <c r="D23" t="n">
        <v>1</v>
      </c>
      <c r="E23" t="n">
        <v>81</v>
      </c>
      <c r="F23" t="n">
        <v>675</v>
      </c>
      <c r="G23" t="n">
        <v>2046</v>
      </c>
      <c r="H23" t="n">
        <v>13742</v>
      </c>
      <c r="I23" t="inlineStr">
        <is>
          <t>https://medfregat.ru/catalog/ginekologiya-i-urologiya</t>
        </is>
      </c>
    </row>
    <row r="24">
      <c r="A24" t="inlineStr">
        <is>
          <t>medicray.ru</t>
        </is>
      </c>
      <c r="B24" t="n">
        <v>19</v>
      </c>
      <c r="C24" t="n">
        <v>1</v>
      </c>
      <c r="D24" t="n">
        <v>0</v>
      </c>
      <c r="E24" t="n">
        <v>29</v>
      </c>
      <c r="F24" t="n">
        <v>500</v>
      </c>
      <c r="G24" t="n">
        <v>1020</v>
      </c>
      <c r="H24" t="n">
        <v>3144</v>
      </c>
      <c r="I24" t="inlineStr">
        <is>
          <t>https://medicray.ru/category/catalog-oborudovaniya/ginekologia</t>
        </is>
      </c>
    </row>
    <row r="25">
      <c r="A25" t="inlineStr">
        <is>
          <t>vilmed.ru</t>
        </is>
      </c>
      <c r="B25" t="n">
        <v>29</v>
      </c>
      <c r="C25" t="n">
        <v>1</v>
      </c>
      <c r="D25" t="n">
        <v>1</v>
      </c>
      <c r="E25" t="n">
        <v>22</v>
      </c>
      <c r="F25" t="n">
        <v>477</v>
      </c>
      <c r="G25" t="n">
        <v>2299</v>
      </c>
      <c r="H25" t="n">
        <v>35763</v>
      </c>
      <c r="I25" t="inlineStr">
        <is>
          <t>https://vilmed.ru/catalog/ginekologiya</t>
        </is>
      </c>
    </row>
    <row r="26">
      <c r="A26" t="inlineStr">
        <is>
          <t>teh-med.ru</t>
        </is>
      </c>
      <c r="B26" t="n">
        <v>30</v>
      </c>
      <c r="C26" t="n">
        <v>1</v>
      </c>
      <c r="D26" t="n">
        <v>1</v>
      </c>
      <c r="E26" t="n">
        <v>89</v>
      </c>
      <c r="F26" t="n">
        <v>467</v>
      </c>
      <c r="G26" t="n">
        <v>1048</v>
      </c>
      <c r="H26" t="n">
        <v>6946</v>
      </c>
      <c r="I26" t="inlineStr">
        <is>
          <t>https://teh-med.ru/ginekologiya_akusherstvo</t>
        </is>
      </c>
    </row>
    <row r="27">
      <c r="A27" t="inlineStr">
        <is>
          <t>mil-nn.ru</t>
        </is>
      </c>
      <c r="B27" t="n">
        <v>21</v>
      </c>
      <c r="C27" t="n">
        <v>1</v>
      </c>
      <c r="D27" t="n">
        <v>0</v>
      </c>
      <c r="E27" t="n">
        <v>50</v>
      </c>
      <c r="F27" t="n">
        <v>452</v>
      </c>
      <c r="G27" t="n">
        <v>1286</v>
      </c>
      <c r="H27" t="n">
        <v>5620</v>
      </c>
      <c r="I27" t="inlineStr">
        <is>
          <t>https://mil-nn.ru/catalog/ginekologicheskoe_oborudovanie</t>
        </is>
      </c>
    </row>
    <row r="28">
      <c r="A28" t="inlineStr">
        <is>
          <t>medakt.ru</t>
        </is>
      </c>
      <c r="B28" t="n">
        <v>36</v>
      </c>
      <c r="C28" t="n">
        <v>1</v>
      </c>
      <c r="D28" t="n">
        <v>1</v>
      </c>
      <c r="E28" t="n">
        <v>77</v>
      </c>
      <c r="F28" t="n">
        <v>424</v>
      </c>
      <c r="G28" t="n">
        <v>943</v>
      </c>
      <c r="H28" t="n">
        <v>4993</v>
      </c>
      <c r="I28" t="inlineStr">
        <is>
          <t>https://medakt.ru/catalog/akusherstvo-i-ginekologiya</t>
        </is>
      </c>
    </row>
    <row r="29">
      <c r="A29" t="inlineStr">
        <is>
          <t>salusmed.spb.ru</t>
        </is>
      </c>
      <c r="B29" t="n">
        <v>35</v>
      </c>
      <c r="C29" t="n">
        <v>1</v>
      </c>
      <c r="D29" t="n">
        <v>0</v>
      </c>
      <c r="E29" t="n">
        <v>45</v>
      </c>
      <c r="F29" t="n">
        <v>404</v>
      </c>
      <c r="G29" t="n">
        <v>1513</v>
      </c>
      <c r="H29" t="n">
        <v>15980</v>
      </c>
      <c r="I29" t="inlineStr">
        <is>
          <t>https://salusmed.spb.ru/медицинское-гинекологическое-оборудование-0</t>
        </is>
      </c>
    </row>
    <row r="30">
      <c r="A30" t="inlineStr">
        <is>
          <t>gm-med.ru</t>
        </is>
      </c>
      <c r="B30" t="n">
        <v>33</v>
      </c>
      <c r="C30" t="n">
        <v>1</v>
      </c>
      <c r="D30" t="n">
        <v>0</v>
      </c>
      <c r="E30" t="n">
        <v>36</v>
      </c>
      <c r="F30" t="n">
        <v>259</v>
      </c>
      <c r="G30" t="n">
        <v>647</v>
      </c>
      <c r="H30" t="n">
        <v>6245</v>
      </c>
      <c r="I30" t="inlineStr">
        <is>
          <t>https://gm-med.ru/catalog/akusherstvo-i-ginekologiya</t>
        </is>
      </c>
    </row>
    <row r="31">
      <c r="A31" t="inlineStr">
        <is>
          <t>medmetr.ru</t>
        </is>
      </c>
      <c r="B31" t="n">
        <v>32</v>
      </c>
      <c r="C31" t="n">
        <v>1</v>
      </c>
      <c r="D31" t="n">
        <v>0</v>
      </c>
      <c r="E31" t="n">
        <v>25</v>
      </c>
      <c r="F31" t="n">
        <v>255</v>
      </c>
      <c r="G31" t="n">
        <v>606</v>
      </c>
      <c r="H31" t="n">
        <v>5485</v>
      </c>
      <c r="I31" t="inlineStr">
        <is>
          <t>https://medmetr.ru/catalog/ginekologiia-akusherstvo</t>
        </is>
      </c>
    </row>
    <row r="32">
      <c r="A32" t="inlineStr">
        <is>
          <t>gnkmed.ru</t>
        </is>
      </c>
      <c r="B32" t="n">
        <v>9</v>
      </c>
      <c r="C32" t="n">
        <v>1</v>
      </c>
      <c r="D32" t="n">
        <v>1</v>
      </c>
      <c r="E32" t="n">
        <v>24</v>
      </c>
      <c r="F32" t="n">
        <v>229</v>
      </c>
      <c r="G32" t="n">
        <v>504</v>
      </c>
      <c r="H32" t="n">
        <v>1818</v>
      </c>
      <c r="I32" t="inlineStr">
        <is>
          <t>https://gnkmed.ru/catalog/ginekologicheskie-kombayny-otopront</t>
        </is>
      </c>
    </row>
    <row r="33">
      <c r="A33" t="inlineStr">
        <is>
          <t>dixion.ru</t>
        </is>
      </c>
      <c r="B33" t="n">
        <v>40</v>
      </c>
      <c r="C33" t="n">
        <v>1</v>
      </c>
      <c r="D33" t="n">
        <v>1</v>
      </c>
      <c r="E33" t="n">
        <v>55</v>
      </c>
      <c r="F33" t="n">
        <v>229</v>
      </c>
      <c r="G33" t="n">
        <v>421</v>
      </c>
      <c r="H33" t="n">
        <v>2752</v>
      </c>
      <c r="I33" t="inlineStr">
        <is>
          <t>https://dixion.ru/category/akusherstvo-i-ginekologiya.html</t>
        </is>
      </c>
    </row>
    <row r="34">
      <c r="A34" t="inlineStr">
        <is>
          <t>lotem.ru</t>
        </is>
      </c>
      <c r="B34" t="n">
        <v>43</v>
      </c>
      <c r="C34" t="n">
        <v>1</v>
      </c>
      <c r="D34" t="n">
        <v>0</v>
      </c>
      <c r="E34" t="n">
        <v>21</v>
      </c>
      <c r="F34" t="n">
        <v>199</v>
      </c>
      <c r="G34" t="n">
        <v>395</v>
      </c>
      <c r="H34" t="n">
        <v>1783</v>
      </c>
      <c r="I34" t="inlineStr">
        <is>
          <t>https://lotem.ru/oborudovanie/ginekologiya</t>
        </is>
      </c>
    </row>
    <row r="35">
      <c r="A35" t="inlineStr">
        <is>
          <t>meditems.ru</t>
        </is>
      </c>
      <c r="B35" t="n">
        <v>34</v>
      </c>
      <c r="C35" t="n">
        <v>1</v>
      </c>
      <c r="D35" t="n">
        <v>0</v>
      </c>
      <c r="E35" t="n">
        <v>18</v>
      </c>
      <c r="F35" t="n">
        <v>176</v>
      </c>
      <c r="G35" t="n">
        <v>682</v>
      </c>
      <c r="H35" t="n">
        <v>9245</v>
      </c>
      <c r="I35" t="inlineStr">
        <is>
          <t>https://meditems.ru/catalog/ginekologiya_i_akusherstvo</t>
        </is>
      </c>
    </row>
    <row r="36">
      <c r="A36" t="inlineStr">
        <is>
          <t>fujitora.com</t>
        </is>
      </c>
      <c r="B36" t="n">
        <v>42</v>
      </c>
      <c r="C36" t="n">
        <v>1</v>
      </c>
      <c r="D36" t="n">
        <v>0</v>
      </c>
      <c r="E36" t="n">
        <v>19</v>
      </c>
      <c r="F36" t="n">
        <v>148</v>
      </c>
      <c r="G36" t="n">
        <v>419</v>
      </c>
      <c r="H36" t="n">
        <v>3012</v>
      </c>
      <c r="I36" t="inlineStr">
        <is>
          <t>https://fujitora.com/catalog/ginekologiya</t>
        </is>
      </c>
    </row>
    <row r="37">
      <c r="A37" t="inlineStr">
        <is>
          <t>rusmedcompany.ru</t>
        </is>
      </c>
      <c r="B37" t="n">
        <v>37</v>
      </c>
      <c r="C37" t="n">
        <v>1</v>
      </c>
      <c r="D37" t="n">
        <v>0</v>
      </c>
      <c r="E37" t="n">
        <v>12</v>
      </c>
      <c r="F37" t="n">
        <v>108</v>
      </c>
      <c r="G37" t="n">
        <v>357</v>
      </c>
      <c r="H37" t="n">
        <v>7086</v>
      </c>
      <c r="I37" t="inlineStr">
        <is>
          <t>https://rusmedcompany.ru/catalog/ginekologiya</t>
        </is>
      </c>
    </row>
    <row r="38">
      <c r="A38" t="inlineStr">
        <is>
          <t>gsmedicine.ru</t>
        </is>
      </c>
      <c r="B38" t="n">
        <v>23</v>
      </c>
      <c r="C38" t="n">
        <v>1</v>
      </c>
      <c r="D38" t="n">
        <v>0</v>
      </c>
      <c r="E38" t="n">
        <v>5</v>
      </c>
      <c r="F38" t="n">
        <v>33</v>
      </c>
      <c r="G38" t="n">
        <v>87</v>
      </c>
      <c r="H38" t="n">
        <v>722</v>
      </c>
      <c r="I38" t="inlineStr">
        <is>
          <t>https://gsmedicine.ru/product/ginekologicheskoe-oborudovanie</t>
        </is>
      </c>
    </row>
    <row r="39">
      <c r="A39" t="inlineStr">
        <is>
          <t>eurotech.ru</t>
        </is>
      </c>
      <c r="B39" t="n">
        <v>39</v>
      </c>
      <c r="C39" t="n">
        <v>1</v>
      </c>
      <c r="D39" t="n">
        <v>0</v>
      </c>
      <c r="E39" t="n">
        <v>1</v>
      </c>
      <c r="F39" t="n">
        <v>17</v>
      </c>
      <c r="G39" t="n">
        <v>33</v>
      </c>
      <c r="H39" t="n">
        <v>216</v>
      </c>
      <c r="I39" t="inlineStr">
        <is>
          <t>https://eurotech.ru/catalog/ginekologicheskoe-i-akusherskoe-oborudovanie</t>
        </is>
      </c>
    </row>
    <row r="40">
      <c r="A40" t="inlineStr">
        <is>
          <t>ro-med.ru</t>
        </is>
      </c>
      <c r="B40" t="n">
        <v>41</v>
      </c>
      <c r="C40" t="n">
        <v>1</v>
      </c>
      <c r="D40" t="n">
        <v>0</v>
      </c>
      <c r="E40" t="n">
        <v>0</v>
      </c>
      <c r="F40" t="n">
        <v>2</v>
      </c>
      <c r="G40" t="n">
        <v>8</v>
      </c>
      <c r="H40" t="n">
        <v>324</v>
      </c>
      <c r="I40" t="inlineStr">
        <is>
          <t>https://msk.ro-med.ru/catalog/gynecology</t>
        </is>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2026-09-30T20:37:09Z</dcterms:created>
  <dcterms:modified xsi:type="dcterms:W3CDTF">2026-09-30T20:37:10Z</dcterms:modified>
</cp:coreProperties>
</file>