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Анализ конкурентов" sheetId="1" state="visible" r:id="rId1"/>
    <sheet name="Данные Simple.top" sheetId="2" state="visible" r:id="rId2"/>
    <sheet name="Описание метрик" sheetId="3" state="visible" r:id="rId3"/>
    <sheet name="Сводная таблица лидеров" sheetId="4" state="visible" r:id="rId4"/>
    <sheet name="Инструкция" sheetId="5" state="visible" r:id="rId5"/>
    <sheet name="Технический лист" sheetId="6" state="hidden" r:id="rId6"/>
  </sheets>
  <definedNames>
    <definedName name="_xlnm._FilterDatabase" localSheetId="0" hidden="1">'Анализ конкурентов'!$A$1:$V$23</definedName>
  </definedNames>
  <calcPr calcId="124519" fullCalcOnLoad="1"/>
</workbook>
</file>

<file path=xl/styles.xml><?xml version="1.0" encoding="utf-8"?>
<styleSheet xmlns="http://schemas.openxmlformats.org/spreadsheetml/2006/main">
  <numFmts count="0"/>
  <fonts count="12">
    <font>
      <name val="Arial"/>
      <color rgb="FF000000"/>
      <sz val="10"/>
    </font>
    <font>
      <b val="1"/>
    </font>
    <font/>
    <font>
      <b val="1"/>
      <color rgb="FF0000FF"/>
      <u val="single"/>
    </font>
    <font>
      <name val="Arial"/>
      <b val="1"/>
    </font>
    <font>
      <color rgb="FF0000FF"/>
      <u val="single"/>
    </font>
    <font>
      <name val="Arial"/>
    </font>
    <font>
      <name val="Arial"/>
      <color rgb="FF1155CC"/>
      <u val="single"/>
    </font>
    <font>
      <name val="Arial"/>
      <color rgb="FF1155CC"/>
      <u val="single"/>
    </font>
    <font>
      <b val="1"/>
      <color rgb="FF0000FF"/>
      <u val="single"/>
    </font>
    <font>
      <name val="Arial"/>
      <color rgb="FF1155CC"/>
      <u val="single"/>
    </font>
    <font>
      <name val="Arial"/>
      <color rgb="FF0B8043"/>
    </font>
  </fonts>
  <fills count="228">
    <fill>
      <patternFill/>
    </fill>
    <fill>
      <patternFill patternType="lightGray"/>
    </fill>
    <fill>
      <patternFill patternType="solid">
        <fgColor rgb="FFA4C2F4"/>
        <bgColor rgb="FFA4C2F4"/>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EFEFEF"/>
        <bgColor rgb="FFEFEFEF"/>
      </patternFill>
    </fill>
    <fill>
      <patternFill patternType="solid">
        <fgColor rgb="FFE88880"/>
        <bgColor rgb="FFE88880"/>
      </patternFill>
    </fill>
    <fill>
      <patternFill patternType="solid">
        <fgColor rgb="FFE8877E"/>
        <bgColor rgb="FFE8877E"/>
      </patternFill>
    </fill>
    <fill>
      <patternFill patternType="solid">
        <fgColor rgb="FF67C295"/>
        <bgColor rgb="FF67C295"/>
      </patternFill>
    </fill>
    <fill>
      <patternFill patternType="solid">
        <fgColor rgb="FFF6D2CF"/>
        <bgColor rgb="FFF6D2CF"/>
      </patternFill>
    </fill>
    <fill>
      <patternFill patternType="solid">
        <fgColor rgb="FFF9E0DE"/>
        <bgColor rgb="FFF9E0DE"/>
      </patternFill>
    </fill>
    <fill>
      <patternFill patternType="solid">
        <fgColor rgb="FFFCE8B2"/>
        <bgColor rgb="FFFCE8B2"/>
      </patternFill>
    </fill>
    <fill>
      <patternFill patternType="solid">
        <fgColor rgb="FFEB9B94"/>
        <bgColor rgb="FFEB9B94"/>
      </patternFill>
    </fill>
    <fill>
      <patternFill patternType="solid">
        <fgColor rgb="FFB7E1CD"/>
        <bgColor rgb="FFB7E1CD"/>
      </patternFill>
    </fill>
    <fill>
      <patternFill patternType="solid">
        <fgColor rgb="FFFBEAE9"/>
        <bgColor rgb="FFFBEAE9"/>
      </patternFill>
    </fill>
    <fill>
      <patternFill patternType="solid">
        <fgColor rgb="FFFCFEFD"/>
        <bgColor rgb="FFFCFEFD"/>
      </patternFill>
    </fill>
    <fill>
      <patternFill patternType="solid">
        <fgColor rgb="FFFDF5F4"/>
        <bgColor rgb="FFFDF5F4"/>
      </patternFill>
    </fill>
    <fill>
      <patternFill patternType="solid">
        <fgColor rgb="FFFBFEFC"/>
        <bgColor rgb="FFFBFEFC"/>
      </patternFill>
    </fill>
    <fill>
      <patternFill patternType="solid">
        <fgColor rgb="FFE67C73"/>
        <bgColor rgb="FFE67C73"/>
      </patternFill>
    </fill>
    <fill>
      <patternFill patternType="solid">
        <fgColor rgb="FFF0B1AC"/>
        <bgColor rgb="FFF0B1AC"/>
      </patternFill>
    </fill>
    <fill>
      <patternFill patternType="solid">
        <fgColor rgb="FFF1BAB5"/>
        <bgColor rgb="FFF1BAB5"/>
      </patternFill>
    </fill>
    <fill>
      <patternFill patternType="solid">
        <fgColor rgb="FFFBEFED"/>
        <bgColor rgb="FFFBEFED"/>
      </patternFill>
    </fill>
    <fill>
      <patternFill patternType="solid">
        <fgColor rgb="FFF4C7C3"/>
        <bgColor rgb="FFF4C7C3"/>
      </patternFill>
    </fill>
    <fill>
      <patternFill patternType="solid">
        <fgColor rgb="FF57BB8A"/>
        <bgColor rgb="FF57BB8A"/>
      </patternFill>
    </fill>
    <fill>
      <patternFill patternType="solid">
        <fgColor rgb="FF76C8A0"/>
        <bgColor rgb="FF76C8A0"/>
      </patternFill>
    </fill>
    <fill>
      <patternFill patternType="solid">
        <fgColor rgb="FFAEDFC7"/>
        <bgColor rgb="FFAEDFC7"/>
      </patternFill>
    </fill>
    <fill>
      <patternFill patternType="solid">
        <fgColor rgb="FF62C092"/>
        <bgColor rgb="FF62C092"/>
      </patternFill>
    </fill>
    <fill>
      <patternFill patternType="solid">
        <fgColor rgb="FFDAF0E5"/>
        <bgColor rgb="FFDAF0E5"/>
      </patternFill>
    </fill>
    <fill>
      <patternFill patternType="solid">
        <fgColor rgb="FFB1E0C9"/>
        <bgColor rgb="FFB1E0C9"/>
      </patternFill>
    </fill>
    <fill>
      <patternFill patternType="solid">
        <fgColor rgb="FFDCF1E7"/>
        <bgColor rgb="FFDCF1E7"/>
      </patternFill>
    </fill>
    <fill>
      <patternFill patternType="solid">
        <fgColor rgb="FFF6FCF9"/>
        <bgColor rgb="FFF6FCF9"/>
      </patternFill>
    </fill>
    <fill>
      <patternFill patternType="solid">
        <fgColor rgb="FF66C295"/>
        <bgColor rgb="FF66C295"/>
      </patternFill>
    </fill>
    <fill>
      <patternFill patternType="solid">
        <fgColor rgb="FF6CC499"/>
        <bgColor rgb="FF6CC499"/>
      </patternFill>
    </fill>
    <fill>
      <patternFill patternType="solid">
        <fgColor rgb="FFF0F9F5"/>
        <bgColor rgb="FFF0F9F5"/>
      </patternFill>
    </fill>
    <fill>
      <patternFill patternType="solid">
        <fgColor rgb="FFE1F3EA"/>
        <bgColor rgb="FFE1F3EA"/>
      </patternFill>
    </fill>
    <fill>
      <patternFill patternType="solid">
        <fgColor rgb="FFF5CCC8"/>
        <bgColor rgb="FFF5CCC8"/>
      </patternFill>
    </fill>
    <fill>
      <patternFill patternType="solid">
        <fgColor rgb="FFF1B7B2"/>
        <bgColor rgb="FFF1B7B2"/>
      </patternFill>
    </fill>
    <fill>
      <patternFill patternType="solid">
        <fgColor rgb="FFEDF8F3"/>
        <bgColor rgb="FFEDF8F3"/>
      </patternFill>
    </fill>
    <fill>
      <patternFill patternType="solid">
        <fgColor rgb="FFFEFFFE"/>
        <bgColor rgb="FFFEFFFE"/>
      </patternFill>
    </fill>
    <fill>
      <patternFill patternType="solid">
        <fgColor rgb="FFE8F6EF"/>
        <bgColor rgb="FFE8F6EF"/>
      </patternFill>
    </fill>
    <fill>
      <patternFill patternType="solid">
        <fgColor rgb="FFF0B3AE"/>
        <bgColor rgb="FFF0B3AE"/>
      </patternFill>
    </fill>
    <fill>
      <patternFill patternType="solid">
        <fgColor rgb="FF6FC59B"/>
        <bgColor rgb="FF6FC59B"/>
      </patternFill>
    </fill>
    <fill>
      <patternFill patternType="solid">
        <fgColor rgb="FFF7D5D2"/>
        <bgColor rgb="FFF7D5D2"/>
      </patternFill>
    </fill>
    <fill>
      <patternFill patternType="solid">
        <fgColor rgb="FFB8E3CE"/>
        <bgColor rgb="FFB8E3CE"/>
      </patternFill>
    </fill>
    <fill>
      <patternFill patternType="solid">
        <fgColor rgb="FFE7F6EE"/>
        <bgColor rgb="FFE7F6EE"/>
      </patternFill>
    </fill>
    <fill>
      <patternFill patternType="solid">
        <fgColor rgb="FFCAEADA"/>
        <bgColor rgb="FFCAEADA"/>
      </patternFill>
    </fill>
    <fill>
      <patternFill patternType="solid">
        <fgColor rgb="FFEDA59F"/>
        <bgColor rgb="FFEDA59F"/>
      </patternFill>
    </fill>
    <fill>
      <patternFill patternType="solid">
        <fgColor rgb="FFF7FCFA"/>
        <bgColor rgb="FFF7FCFA"/>
      </patternFill>
    </fill>
    <fill>
      <patternFill patternType="solid">
        <fgColor rgb="FFF2BAB6"/>
        <bgColor rgb="FFF2BAB6"/>
      </patternFill>
    </fill>
    <fill>
      <patternFill patternType="solid">
        <fgColor rgb="FFF3FBF7"/>
        <bgColor rgb="FFF3FBF7"/>
      </patternFill>
    </fill>
    <fill>
      <patternFill patternType="solid">
        <fgColor rgb="FFEBF7F1"/>
        <bgColor rgb="FFEBF7F1"/>
      </patternFill>
    </fill>
    <fill>
      <patternFill patternType="solid">
        <fgColor rgb="FFEDA39C"/>
        <bgColor rgb="FFEDA39C"/>
      </patternFill>
    </fill>
    <fill>
      <patternFill patternType="solid">
        <fgColor rgb="FFE88A82"/>
        <bgColor rgb="FFE88A82"/>
      </patternFill>
    </fill>
    <fill>
      <patternFill patternType="solid">
        <fgColor rgb="FF84CDA9"/>
        <bgColor rgb="FF84CDA9"/>
      </patternFill>
    </fill>
    <fill>
      <patternFill patternType="solid">
        <fgColor rgb="FFF3C0BC"/>
        <bgColor rgb="FFF3C0BC"/>
      </patternFill>
    </fill>
    <fill>
      <patternFill patternType="solid">
        <fgColor rgb="FFEEABA5"/>
        <bgColor rgb="FFEEABA5"/>
      </patternFill>
    </fill>
    <fill>
      <patternFill patternType="solid">
        <fgColor rgb="FF9CD7BA"/>
        <bgColor rgb="FF9CD7BA"/>
      </patternFill>
    </fill>
    <fill>
      <patternFill patternType="solid">
        <fgColor rgb="FFF1B6B1"/>
        <bgColor rgb="FFF1B6B1"/>
      </patternFill>
    </fill>
    <fill>
      <patternFill patternType="solid">
        <fgColor rgb="FFEDA19A"/>
        <bgColor rgb="FFEDA19A"/>
      </patternFill>
    </fill>
    <fill>
      <patternFill patternType="solid">
        <fgColor rgb="FFEFAEA8"/>
        <bgColor rgb="FFEFAEA8"/>
      </patternFill>
    </fill>
    <fill>
      <patternFill patternType="solid">
        <fgColor rgb="FFFAFDFB"/>
        <bgColor rgb="FFFAFDFB"/>
      </patternFill>
    </fill>
    <fill>
      <patternFill patternType="solid">
        <fgColor rgb="FF7FCCA6"/>
        <bgColor rgb="FF7FCCA6"/>
      </patternFill>
    </fill>
    <fill>
      <patternFill patternType="solid">
        <fgColor rgb="FFD0ECDF"/>
        <bgColor rgb="FFD0ECDF"/>
      </patternFill>
    </fill>
    <fill>
      <patternFill patternType="solid">
        <fgColor rgb="FFEAF7F0"/>
        <bgColor rgb="FFEAF7F0"/>
      </patternFill>
    </fill>
    <fill>
      <patternFill patternType="solid">
        <fgColor rgb="FFFAFDFC"/>
        <bgColor rgb="FFFAFDFC"/>
      </patternFill>
    </fill>
    <fill>
      <patternFill patternType="solid">
        <fgColor rgb="FFE9F6F0"/>
        <bgColor rgb="FFE9F6F0"/>
      </patternFill>
    </fill>
    <fill>
      <patternFill patternType="solid">
        <fgColor rgb="FFF9FDFB"/>
        <bgColor rgb="FFF9FDFB"/>
      </patternFill>
    </fill>
    <fill>
      <patternFill patternType="solid">
        <fgColor rgb="FFCFECDE"/>
        <bgColor rgb="FFCFECDE"/>
      </patternFill>
    </fill>
    <fill>
      <patternFill patternType="solid">
        <fgColor rgb="FFC2E7D5"/>
        <bgColor rgb="FFC2E7D5"/>
      </patternFill>
    </fill>
    <fill>
      <patternFill patternType="solid">
        <fgColor rgb="FFFEFAF9"/>
        <bgColor rgb="FFFEFAF9"/>
      </patternFill>
    </fill>
    <fill>
      <patternFill patternType="solid">
        <fgColor rgb="FF7DCBA5"/>
        <bgColor rgb="FF7DCBA5"/>
      </patternFill>
    </fill>
    <fill>
      <patternFill patternType="solid">
        <fgColor rgb="FF92D3B4"/>
        <bgColor rgb="FF92D3B4"/>
      </patternFill>
    </fill>
    <fill>
      <patternFill patternType="solid">
        <fgColor rgb="FFFEFFFF"/>
        <bgColor rgb="FFFEFFFF"/>
      </patternFill>
    </fill>
    <fill>
      <patternFill patternType="solid">
        <fgColor rgb="FFB4E1CB"/>
        <bgColor rgb="FFB4E1CB"/>
      </patternFill>
    </fill>
    <fill>
      <patternFill patternType="solid">
        <fgColor rgb="FFC4E7D6"/>
        <bgColor rgb="FFC4E7D6"/>
      </patternFill>
    </fill>
    <fill>
      <patternFill patternType="solid">
        <fgColor rgb="FF96D5B6"/>
        <bgColor rgb="FF96D5B6"/>
      </patternFill>
    </fill>
    <fill>
      <patternFill patternType="solid">
        <fgColor rgb="FFF7FCF9"/>
        <bgColor rgb="FFF7FCF9"/>
      </patternFill>
    </fill>
    <fill>
      <patternFill patternType="solid">
        <fgColor rgb="FFD7EFE4"/>
        <bgColor rgb="FFD7EFE4"/>
      </patternFill>
    </fill>
    <fill>
      <patternFill patternType="solid">
        <fgColor rgb="FFF4FBF8"/>
        <bgColor rgb="FFF4FBF8"/>
      </patternFill>
    </fill>
    <fill>
      <patternFill patternType="solid">
        <fgColor rgb="FFC0E6D3"/>
        <bgColor rgb="FFC0E6D3"/>
      </patternFill>
    </fill>
    <fill>
      <patternFill patternType="solid">
        <fgColor rgb="FFFDFEFD"/>
        <bgColor rgb="FFFDFEFD"/>
      </patternFill>
    </fill>
    <fill>
      <patternFill patternType="solid">
        <fgColor rgb="FFFFFEFE"/>
        <bgColor rgb="FFFFFEFE"/>
      </patternFill>
    </fill>
    <fill>
      <patternFill patternType="solid">
        <fgColor rgb="FF84CEAA"/>
        <bgColor rgb="FF84CEAA"/>
      </patternFill>
    </fill>
    <fill>
      <patternFill patternType="solid">
        <fgColor rgb="FFEB9891"/>
        <bgColor rgb="FFEB9891"/>
      </patternFill>
    </fill>
    <fill>
      <patternFill patternType="solid">
        <fgColor rgb="FFEDA49D"/>
        <bgColor rgb="FFEDA49D"/>
      </patternFill>
    </fill>
    <fill>
      <patternFill patternType="solid">
        <fgColor rgb="FF8DD1B0"/>
        <bgColor rgb="FF8DD1B0"/>
      </patternFill>
    </fill>
    <fill>
      <patternFill patternType="solid">
        <fgColor rgb="FFBEE5D2"/>
        <bgColor rgb="FFBEE5D2"/>
      </patternFill>
    </fill>
    <fill>
      <patternFill patternType="solid">
        <fgColor rgb="FF7CCAA4"/>
        <bgColor rgb="FF7CCAA4"/>
      </patternFill>
    </fill>
    <fill>
      <patternFill patternType="solid">
        <fgColor rgb="FFF5FBF8"/>
        <bgColor rgb="FFF5FBF8"/>
      </patternFill>
    </fill>
    <fill>
      <patternFill patternType="solid">
        <fgColor rgb="FFC6E8D7"/>
        <bgColor rgb="FFC6E8D7"/>
      </patternFill>
    </fill>
    <fill>
      <patternFill patternType="solid">
        <fgColor rgb="FFECF8F2"/>
        <bgColor rgb="FFECF8F2"/>
      </patternFill>
    </fill>
    <fill>
      <patternFill patternType="solid">
        <fgColor rgb="FF6BC498"/>
        <bgColor rgb="FF6BC498"/>
      </patternFill>
    </fill>
    <fill>
      <patternFill patternType="solid">
        <fgColor rgb="FFF2FAF6"/>
        <bgColor rgb="FFF2FAF6"/>
      </patternFill>
    </fill>
    <fill>
      <patternFill patternType="solid">
        <fgColor rgb="FFFFFDFD"/>
        <bgColor rgb="FFFFFDFD"/>
      </patternFill>
    </fill>
    <fill>
      <patternFill patternType="solid">
        <fgColor rgb="FF8CD1AF"/>
        <bgColor rgb="FF8CD1AF"/>
      </patternFill>
    </fill>
    <fill>
      <patternFill patternType="solid">
        <fgColor rgb="FFEEF8F3"/>
        <bgColor rgb="FFEEF8F3"/>
      </patternFill>
    </fill>
    <fill>
      <patternFill patternType="solid">
        <fgColor rgb="FF5FBF90"/>
        <bgColor rgb="FF5FBF90"/>
      </patternFill>
    </fill>
    <fill>
      <patternFill patternType="solid">
        <fgColor rgb="FFBFE5D3"/>
        <bgColor rgb="FFBFE5D3"/>
      </patternFill>
    </fill>
    <fill>
      <patternFill patternType="solid">
        <fgColor rgb="FFF4FBF7"/>
        <bgColor rgb="FFF4FBF7"/>
      </patternFill>
    </fill>
    <fill>
      <patternFill patternType="solid">
        <fgColor rgb="FFC5E8D7"/>
        <bgColor rgb="FFC5E8D7"/>
      </patternFill>
    </fill>
    <fill>
      <patternFill patternType="solid">
        <fgColor rgb="FFF0F9F4"/>
        <bgColor rgb="FFF0F9F4"/>
      </patternFill>
    </fill>
    <fill>
      <patternFill patternType="solid">
        <fgColor rgb="FFAEDEC7"/>
        <bgColor rgb="FFAEDEC7"/>
      </patternFill>
    </fill>
    <fill>
      <patternFill patternType="solid">
        <fgColor rgb="FFFCFDFD"/>
        <bgColor rgb="FFFCFDFD"/>
      </patternFill>
    </fill>
    <fill>
      <patternFill patternType="solid">
        <fgColor rgb="FFD6EFE3"/>
        <bgColor rgb="FFD6EFE3"/>
      </patternFill>
    </fill>
    <fill>
      <patternFill patternType="solid">
        <fgColor rgb="FFF1B8B3"/>
        <bgColor rgb="FFF1B8B3"/>
      </patternFill>
    </fill>
    <fill>
      <patternFill patternType="solid">
        <fgColor rgb="FFF7D8D5"/>
        <bgColor rgb="FFF7D8D5"/>
      </patternFill>
    </fill>
    <fill>
      <patternFill patternType="solid">
        <fgColor rgb="FFF8DFDD"/>
        <bgColor rgb="FFF8DFDD"/>
      </patternFill>
    </fill>
    <fill>
      <patternFill patternType="solid">
        <fgColor rgb="FFEFABA5"/>
        <bgColor rgb="FFEFABA5"/>
      </patternFill>
    </fill>
    <fill>
      <patternFill patternType="solid">
        <fgColor rgb="FFE88B83"/>
        <bgColor rgb="FFE88B83"/>
      </patternFill>
    </fill>
    <fill>
      <patternFill patternType="solid">
        <fgColor rgb="FF7ECAA5"/>
        <bgColor rgb="FF7ECAA5"/>
      </patternFill>
    </fill>
    <fill>
      <patternFill patternType="solid">
        <fgColor rgb="FFF4C8C4"/>
        <bgColor rgb="FFF4C8C4"/>
      </patternFill>
    </fill>
    <fill>
      <patternFill patternType="solid">
        <fgColor rgb="FF71C69C"/>
        <bgColor rgb="FF71C69C"/>
      </patternFill>
    </fill>
    <fill>
      <patternFill patternType="solid">
        <fgColor rgb="FFC3E7D5"/>
        <bgColor rgb="FFC3E7D5"/>
      </patternFill>
    </fill>
    <fill>
      <patternFill patternType="solid">
        <fgColor rgb="FF85CEAA"/>
        <bgColor rgb="FF85CEAA"/>
      </patternFill>
    </fill>
    <fill>
      <patternFill patternType="solid">
        <fgColor rgb="FFBAE3CF"/>
        <bgColor rgb="FFBAE3CF"/>
      </patternFill>
    </fill>
    <fill>
      <patternFill patternType="solid">
        <fgColor rgb="FFA7DCC2"/>
        <bgColor rgb="FFA7DCC2"/>
      </patternFill>
    </fill>
    <fill>
      <patternFill patternType="solid">
        <fgColor rgb="FFFBFEFD"/>
        <bgColor rgb="FFFBFEFD"/>
      </patternFill>
    </fill>
    <fill>
      <patternFill patternType="solid">
        <fgColor rgb="FFE68077"/>
        <bgColor rgb="FFE68077"/>
      </patternFill>
    </fill>
    <fill>
      <patternFill patternType="solid">
        <fgColor rgb="FFE8877F"/>
        <bgColor rgb="FFE8877F"/>
      </patternFill>
    </fill>
    <fill>
      <patternFill patternType="solid">
        <fgColor rgb="FFB3E1CA"/>
        <bgColor rgb="FFB3E1CA"/>
      </patternFill>
    </fill>
    <fill>
      <patternFill patternType="solid">
        <fgColor rgb="FFF8DBD9"/>
        <bgColor rgb="FFF8DBD9"/>
      </patternFill>
    </fill>
    <fill>
      <patternFill patternType="solid">
        <fgColor rgb="FFEB9992"/>
        <bgColor rgb="FFEB9992"/>
      </patternFill>
    </fill>
    <fill>
      <patternFill patternType="solid">
        <fgColor rgb="FFF5CECB"/>
        <bgColor rgb="FFF5CECB"/>
      </patternFill>
    </fill>
    <fill>
      <patternFill patternType="solid">
        <fgColor rgb="FFEA958D"/>
        <bgColor rgb="FFEA958D"/>
      </patternFill>
    </fill>
    <fill>
      <patternFill patternType="solid">
        <fgColor rgb="FFFDFFFE"/>
        <bgColor rgb="FFFDFFFE"/>
      </patternFill>
    </fill>
    <fill>
      <patternFill patternType="solid">
        <fgColor rgb="FFE98F88"/>
        <bgColor rgb="FFE98F88"/>
      </patternFill>
    </fill>
    <fill>
      <patternFill patternType="solid">
        <fgColor rgb="FFE67F76"/>
        <bgColor rgb="FFE67F76"/>
      </patternFill>
    </fill>
    <fill>
      <patternFill patternType="solid">
        <fgColor rgb="FF6EC49A"/>
        <bgColor rgb="FF6EC49A"/>
      </patternFill>
    </fill>
    <fill>
      <patternFill patternType="solid">
        <fgColor rgb="FFEC9C96"/>
        <bgColor rgb="FFEC9C96"/>
      </patternFill>
    </fill>
    <fill>
      <patternFill patternType="solid">
        <fgColor rgb="FFEDA19B"/>
        <bgColor rgb="FFEDA19B"/>
      </patternFill>
    </fill>
    <fill>
      <patternFill patternType="solid">
        <fgColor rgb="FFAADDC4"/>
        <bgColor rgb="FFAADDC4"/>
      </patternFill>
    </fill>
    <fill>
      <patternFill patternType="solid">
        <fgColor rgb="FFA6DBC1"/>
        <bgColor rgb="FFA6DBC1"/>
      </patternFill>
    </fill>
    <fill>
      <patternFill patternType="solid">
        <fgColor rgb="FFD9F0E5"/>
        <bgColor rgb="FFD9F0E5"/>
      </patternFill>
    </fill>
    <fill>
      <patternFill patternType="solid">
        <fgColor rgb="FFC4E8D6"/>
        <bgColor rgb="FFC4E8D6"/>
      </patternFill>
    </fill>
    <fill>
      <patternFill patternType="solid">
        <fgColor rgb="FFF7DAD7"/>
        <bgColor rgb="FFF7DAD7"/>
      </patternFill>
    </fill>
    <fill>
      <patternFill patternType="solid">
        <fgColor rgb="FFF8FCFA"/>
        <bgColor rgb="FFF8FCFA"/>
      </patternFill>
    </fill>
    <fill>
      <patternFill patternType="solid">
        <fgColor rgb="FFEDA09A"/>
        <bgColor rgb="FFEDA09A"/>
      </patternFill>
    </fill>
    <fill>
      <patternFill patternType="solid">
        <fgColor rgb="FFEA918A"/>
        <bgColor rgb="FFEA918A"/>
      </patternFill>
    </fill>
    <fill>
      <patternFill patternType="solid">
        <fgColor rgb="FFE68078"/>
        <bgColor rgb="FFE68078"/>
      </patternFill>
    </fill>
    <fill>
      <patternFill patternType="solid">
        <fgColor rgb="FFEEA6A0"/>
        <bgColor rgb="FFEEA6A0"/>
      </patternFill>
    </fill>
    <fill>
      <patternFill patternType="solid">
        <fgColor rgb="FFE7847C"/>
        <bgColor rgb="FFE7847C"/>
      </patternFill>
    </fill>
    <fill>
      <patternFill patternType="solid">
        <fgColor rgb="FFE67F77"/>
        <bgColor rgb="FFE67F77"/>
      </patternFill>
    </fill>
    <fill>
      <patternFill patternType="solid">
        <fgColor rgb="FFE67E75"/>
        <bgColor rgb="FFE67E75"/>
      </patternFill>
    </fill>
    <fill>
      <patternFill patternType="solid">
        <fgColor rgb="FFCFEBDD"/>
        <bgColor rgb="FFCFEBDD"/>
      </patternFill>
    </fill>
    <fill>
      <patternFill patternType="solid">
        <fgColor rgb="FFEEA8A2"/>
        <bgColor rgb="FFEEA8A2"/>
      </patternFill>
    </fill>
    <fill>
      <patternFill patternType="solid">
        <fgColor rgb="FFF6D4D1"/>
        <bgColor rgb="FFF6D4D1"/>
      </patternFill>
    </fill>
    <fill>
      <patternFill patternType="solid">
        <fgColor rgb="FFFEFEFE"/>
        <bgColor rgb="FFFEFEFE"/>
      </patternFill>
    </fill>
    <fill>
      <patternFill patternType="solid">
        <fgColor rgb="FFEA928A"/>
        <bgColor rgb="FFEA928A"/>
      </patternFill>
    </fill>
    <fill>
      <patternFill patternType="solid">
        <fgColor rgb="FFFEFBFB"/>
        <bgColor rgb="FFFEFBFB"/>
      </patternFill>
    </fill>
    <fill>
      <patternFill patternType="solid">
        <fgColor rgb="FFF5CFCC"/>
        <bgColor rgb="FFF5CFCC"/>
      </patternFill>
    </fill>
    <fill>
      <patternFill patternType="solid">
        <fgColor rgb="FFABDDC5"/>
        <bgColor rgb="FFABDDC5"/>
      </patternFill>
    </fill>
    <fill>
      <patternFill patternType="solid">
        <fgColor rgb="FFE4F4EC"/>
        <bgColor rgb="FFE4F4EC"/>
      </patternFill>
    </fill>
    <fill>
      <patternFill patternType="solid">
        <fgColor rgb="FFE2F4EB"/>
        <bgColor rgb="FFE2F4EB"/>
      </patternFill>
    </fill>
    <fill>
      <patternFill patternType="solid">
        <fgColor rgb="FFF1FAF5"/>
        <bgColor rgb="FFF1FAF5"/>
      </patternFill>
    </fill>
    <fill>
      <patternFill patternType="solid">
        <fgColor rgb="FFF5CBC7"/>
        <bgColor rgb="FFF5CBC7"/>
      </patternFill>
    </fill>
    <fill>
      <patternFill patternType="solid">
        <fgColor rgb="FFFCF3F2"/>
        <bgColor rgb="FFFCF3F2"/>
      </patternFill>
    </fill>
    <fill>
      <patternFill patternType="solid">
        <fgColor rgb="FFB9E3CE"/>
        <bgColor rgb="FFB9E3CE"/>
      </patternFill>
    </fill>
    <fill>
      <patternFill patternType="solid">
        <fgColor rgb="FFE6F5ED"/>
        <bgColor rgb="FFE6F5ED"/>
      </patternFill>
    </fill>
    <fill>
      <patternFill patternType="solid">
        <fgColor rgb="FFA4DAC0"/>
        <bgColor rgb="FFA4DAC0"/>
      </patternFill>
    </fill>
    <fill>
      <patternFill patternType="solid">
        <fgColor rgb="FFF3FAF6"/>
        <bgColor rgb="FFF3FAF6"/>
      </patternFill>
    </fill>
    <fill>
      <patternFill patternType="solid">
        <fgColor rgb="FFF8FDFA"/>
        <bgColor rgb="FFF8FDFA"/>
      </patternFill>
    </fill>
    <fill>
      <patternFill patternType="solid">
        <fgColor rgb="FFC6E8D8"/>
        <bgColor rgb="FFC6E8D8"/>
      </patternFill>
    </fill>
    <fill>
      <patternFill patternType="solid">
        <fgColor rgb="FF8ED1B0"/>
        <bgColor rgb="FF8ED1B0"/>
      </patternFill>
    </fill>
    <fill>
      <patternFill patternType="solid">
        <fgColor rgb="FF72C69D"/>
        <bgColor rgb="FF72C69D"/>
      </patternFill>
    </fill>
    <fill>
      <patternFill patternType="solid">
        <fgColor rgb="FFFDFEFE"/>
        <bgColor rgb="FFFDFEFE"/>
      </patternFill>
    </fill>
    <fill>
      <patternFill patternType="solid">
        <fgColor rgb="FFE78279"/>
        <bgColor rgb="FFE78279"/>
      </patternFill>
    </fill>
    <fill>
      <patternFill patternType="solid">
        <fgColor rgb="FFF3C2BE"/>
        <bgColor rgb="FFF3C2BE"/>
      </patternFill>
    </fill>
    <fill>
      <patternFill patternType="solid">
        <fgColor rgb="FFF7D7D4"/>
        <bgColor rgb="FFF7D7D4"/>
      </patternFill>
    </fill>
    <fill>
      <patternFill patternType="solid">
        <fgColor rgb="FFF8FDFB"/>
        <bgColor rgb="FFF8FDFB"/>
      </patternFill>
    </fill>
    <fill>
      <patternFill patternType="solid">
        <fgColor rgb="FFFAE8E7"/>
        <bgColor rgb="FFFAE8E7"/>
      </patternFill>
    </fill>
    <fill>
      <patternFill patternType="solid">
        <fgColor rgb="FFEFAEA9"/>
        <bgColor rgb="FFEFAEA9"/>
      </patternFill>
    </fill>
    <fill>
      <patternFill patternType="solid">
        <fgColor rgb="FFF5CDCA"/>
        <bgColor rgb="FFF5CDCA"/>
      </patternFill>
    </fill>
    <fill>
      <patternFill patternType="solid">
        <fgColor rgb="FF7ECBA5"/>
        <bgColor rgb="FF7ECBA5"/>
      </patternFill>
    </fill>
    <fill>
      <patternFill patternType="solid">
        <fgColor rgb="FFEFB0AA"/>
        <bgColor rgb="FFEFB0AA"/>
      </patternFill>
    </fill>
    <fill>
      <patternFill patternType="solid">
        <fgColor rgb="FFF3FAF7"/>
        <bgColor rgb="FFF3FAF7"/>
      </patternFill>
    </fill>
    <fill>
      <patternFill patternType="solid">
        <fgColor rgb="FFFFFCFC"/>
        <bgColor rgb="FFFFFCFC"/>
      </patternFill>
    </fill>
    <fill>
      <patternFill patternType="solid">
        <fgColor rgb="FFF0B3AD"/>
        <bgColor rgb="FFF0B3AD"/>
      </patternFill>
    </fill>
    <fill>
      <patternFill patternType="solid">
        <fgColor rgb="FFF2BCB8"/>
        <bgColor rgb="FFF2BCB8"/>
      </patternFill>
    </fill>
    <fill>
      <patternFill patternType="solid">
        <fgColor rgb="FFEEA7A1"/>
        <bgColor rgb="FFEEA7A1"/>
      </patternFill>
    </fill>
    <fill>
      <patternFill patternType="solid">
        <fgColor rgb="FFF4C6C2"/>
        <bgColor rgb="FFF4C6C2"/>
      </patternFill>
    </fill>
    <fill>
      <patternFill patternType="solid">
        <fgColor rgb="FFF2BEBA"/>
        <bgColor rgb="FFF2BEBA"/>
      </patternFill>
    </fill>
    <fill>
      <patternFill patternType="solid">
        <fgColor rgb="FFF8DDDB"/>
        <bgColor rgb="FFF8DDDB"/>
      </patternFill>
    </fill>
    <fill>
      <patternFill patternType="solid">
        <fgColor rgb="FF69C296"/>
        <bgColor rgb="FF69C296"/>
      </patternFill>
    </fill>
    <fill>
      <patternFill patternType="solid">
        <fgColor rgb="FFD5EEE2"/>
        <bgColor rgb="FFD5EEE2"/>
      </patternFill>
    </fill>
    <fill>
      <patternFill patternType="solid">
        <fgColor rgb="FFBBE4D0"/>
        <bgColor rgb="FFBBE4D0"/>
      </patternFill>
    </fill>
    <fill>
      <patternFill patternType="solid">
        <fgColor rgb="FFD8EFE4"/>
        <bgColor rgb="FFD8EFE4"/>
      </patternFill>
    </fill>
    <fill>
      <patternFill patternType="solid">
        <fgColor rgb="FFE4F5ED"/>
        <bgColor rgb="FFE4F5ED"/>
      </patternFill>
    </fill>
    <fill>
      <patternFill patternType="solid">
        <fgColor rgb="FF77C8A0"/>
        <bgColor rgb="FF77C8A0"/>
      </patternFill>
    </fill>
    <fill>
      <patternFill patternType="solid">
        <fgColor rgb="FF6DC49A"/>
        <bgColor rgb="FF6DC49A"/>
      </patternFill>
    </fill>
    <fill>
      <patternFill patternType="solid">
        <fgColor rgb="FFB5E1CC"/>
        <bgColor rgb="FFB5E1CC"/>
      </patternFill>
    </fill>
    <fill>
      <patternFill patternType="solid">
        <fgColor rgb="FFDDF1E7"/>
        <bgColor rgb="FFDDF1E7"/>
      </patternFill>
    </fill>
    <fill>
      <patternFill patternType="solid">
        <fgColor rgb="FF9AD7B9"/>
        <bgColor rgb="FF9AD7B9"/>
      </patternFill>
    </fill>
    <fill>
      <patternFill patternType="solid">
        <fgColor rgb="FFD8F0E4"/>
        <bgColor rgb="FFD8F0E4"/>
      </patternFill>
    </fill>
    <fill>
      <patternFill patternType="solid">
        <fgColor rgb="FF9BD7B9"/>
        <bgColor rgb="FF9BD7B9"/>
      </patternFill>
    </fill>
    <fill>
      <patternFill patternType="solid">
        <fgColor rgb="FFE7837B"/>
        <bgColor rgb="FFE7837B"/>
      </patternFill>
    </fill>
    <fill>
      <patternFill patternType="solid">
        <fgColor rgb="FFE99088"/>
        <bgColor rgb="FFE99088"/>
      </patternFill>
    </fill>
    <fill>
      <patternFill patternType="solid">
        <fgColor rgb="FFF2BFBB"/>
        <bgColor rgb="FFF2BFBB"/>
      </patternFill>
    </fill>
    <fill>
      <patternFill patternType="solid">
        <fgColor rgb="FFE98D85"/>
        <bgColor rgb="FFE98D85"/>
      </patternFill>
    </fill>
    <fill>
      <patternFill patternType="solid">
        <fgColor rgb="FF7AC9A2"/>
        <bgColor rgb="FF7AC9A2"/>
      </patternFill>
    </fill>
    <fill>
      <patternFill patternType="solid">
        <fgColor rgb="FFC2E6D4"/>
        <bgColor rgb="FFC2E6D4"/>
      </patternFill>
    </fill>
    <fill>
      <patternFill patternType="solid">
        <fgColor rgb="FFE7857D"/>
        <bgColor rgb="FFE7857D"/>
      </patternFill>
    </fill>
    <fill>
      <patternFill patternType="solid">
        <fgColor rgb="FFFDF9F9"/>
        <bgColor rgb="FFFDF9F9"/>
      </patternFill>
    </fill>
    <fill>
      <patternFill patternType="solid">
        <fgColor rgb="FFEAF7F1"/>
        <bgColor rgb="FFEAF7F1"/>
      </patternFill>
    </fill>
    <fill>
      <patternFill patternType="solid">
        <fgColor rgb="FFF1B8B4"/>
        <bgColor rgb="FFF1B8B4"/>
      </patternFill>
    </fill>
    <fill>
      <patternFill patternType="solid">
        <fgColor rgb="FF6AC297"/>
        <bgColor rgb="FF6AC297"/>
      </patternFill>
    </fill>
    <fill>
      <patternFill patternType="solid">
        <fgColor rgb="FFEC9B95"/>
        <bgColor rgb="FFEC9B95"/>
      </patternFill>
    </fill>
    <fill>
      <patternFill patternType="solid">
        <fgColor rgb="FFEEA9A3"/>
        <bgColor rgb="FFEEA9A3"/>
      </patternFill>
    </fill>
    <fill>
      <patternFill patternType="solid">
        <fgColor rgb="FFE67E76"/>
        <bgColor rgb="FFE67E76"/>
      </patternFill>
    </fill>
    <fill>
      <patternFill patternType="solid">
        <fgColor rgb="FFE8887F"/>
        <bgColor rgb="FFE8887F"/>
      </patternFill>
    </fill>
    <fill>
      <patternFill patternType="solid">
        <fgColor rgb="FFE78179"/>
        <bgColor rgb="FFE78179"/>
      </patternFill>
    </fill>
    <fill>
      <patternFill patternType="solid">
        <fgColor rgb="FF6CC398"/>
        <bgColor rgb="FF6CC398"/>
      </patternFill>
    </fill>
    <fill>
      <patternFill patternType="solid">
        <fgColor rgb="FFE98F87"/>
        <bgColor rgb="FFE98F87"/>
      </patternFill>
    </fill>
    <fill>
      <patternFill patternType="solid">
        <fgColor rgb="FF6EC59A"/>
        <bgColor rgb="FF6EC59A"/>
      </patternFill>
    </fill>
    <fill>
      <patternFill patternType="solid">
        <fgColor rgb="FFE5F5ED"/>
        <bgColor rgb="FFE5F5ED"/>
      </patternFill>
    </fill>
    <fill>
      <patternFill patternType="solid">
        <fgColor rgb="FFE3F4EC"/>
        <bgColor rgb="FFE3F4EC"/>
      </patternFill>
    </fill>
    <fill>
      <patternFill patternType="solid">
        <fgColor rgb="FFBFE5D2"/>
        <bgColor rgb="FFBFE5D2"/>
      </patternFill>
    </fill>
    <fill>
      <patternFill patternType="solid">
        <fgColor rgb="FFFCF4F3"/>
        <bgColor rgb="FFFCF4F3"/>
      </patternFill>
    </fill>
    <fill>
      <patternFill patternType="solid">
        <fgColor rgb="FFD2EDE0"/>
        <bgColor rgb="FFD2EDE0"/>
      </patternFill>
    </fill>
    <fill>
      <patternFill patternType="solid">
        <fgColor rgb="FFE67D74"/>
        <bgColor rgb="FFE67D74"/>
      </patternFill>
    </fill>
    <fill>
      <patternFill patternType="solid">
        <fgColor rgb="FFFCEDEC"/>
        <bgColor rgb="FFFCEDEC"/>
      </patternFill>
    </fill>
    <fill>
      <patternFill patternType="solid">
        <fgColor rgb="FFEA958E"/>
        <bgColor rgb="FFEA958E"/>
      </patternFill>
    </fill>
    <fill>
      <patternFill patternType="solid">
        <fgColor rgb="FFEEA69F"/>
        <bgColor rgb="FFEEA69F"/>
      </patternFill>
    </fill>
    <fill>
      <patternFill patternType="solid">
        <fgColor rgb="FFEDA39D"/>
        <bgColor rgb="FFEDA39D"/>
      </patternFill>
    </fill>
    <fill>
      <patternFill patternType="solid">
        <fgColor rgb="FFE7827A"/>
        <bgColor rgb="FFE7827A"/>
      </patternFill>
    </fill>
    <fill>
      <patternFill patternType="solid">
        <fgColor rgb="FFFCF0EF"/>
        <bgColor rgb="FFFCF0EF"/>
      </patternFill>
    </fill>
    <fill>
      <patternFill patternType="solid">
        <fgColor rgb="FFEC9D96"/>
        <bgColor rgb="FFEC9D96"/>
      </patternFill>
    </fill>
    <fill>
      <patternFill patternType="solid">
        <fgColor rgb="FFD9D9D9"/>
        <bgColor rgb="FFD9D9D9"/>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rder>
    <border>
      <right style="thin">
        <color rgb="FF000000"/>
      </right>
      <top style="thin">
        <color rgb="FF000000"/>
      </top>
      <bottom style="thin">
        <color rgb="FF000000"/>
      </bottom>
    </border>
    <border>
      <bottom style="thin">
        <color rgb="FF000000"/>
      </bottom>
    </border>
  </borders>
  <cellStyleXfs count="1">
    <xf numFmtId="0" fontId="0" fillId="0" borderId="0"/>
  </cellStyleXfs>
  <cellXfs count="364">
    <xf numFmtId="0" fontId="0" fillId="0" borderId="0" applyAlignment="1" pivotButton="0" quotePrefix="0" xfId="0">
      <alignment vertical="bottom"/>
    </xf>
    <xf numFmtId="0" fontId="1" fillId="2" borderId="0" applyAlignment="1" pivotButton="0" quotePrefix="0" xfId="0">
      <alignment horizontal="center" vertical="center"/>
    </xf>
    <xf numFmtId="0" fontId="1" fillId="3" borderId="1" applyAlignment="1" pivotButton="0" quotePrefix="0" xfId="0">
      <alignment horizontal="left"/>
    </xf>
    <xf numFmtId="0" fontId="2" fillId="4" borderId="2" applyAlignment="1" pivotButton="0" quotePrefix="0" xfId="0">
      <alignment horizontal="center" vertical="center"/>
    </xf>
    <xf numFmtId="0" fontId="1" fillId="3" borderId="1" pivotButton="0" quotePrefix="0" xfId="0"/>
    <xf numFmtId="0" fontId="2" fillId="0" borderId="3" pivotButton="0" quotePrefix="0" xfId="0"/>
    <xf numFmtId="0" fontId="1" fillId="5" borderId="1" applyAlignment="1" pivotButton="0" quotePrefix="0" xfId="0">
      <alignment horizontal="left"/>
    </xf>
    <xf numFmtId="0" fontId="2" fillId="0" borderId="4" pivotButton="0" quotePrefix="0" xfId="0"/>
    <xf numFmtId="0" fontId="2" fillId="5" borderId="1" applyAlignment="1" pivotButton="0" quotePrefix="0" xfId="0">
      <alignment wrapText="1"/>
    </xf>
    <xf numFmtId="0" fontId="2" fillId="0" borderId="5" pivotButton="0" quotePrefix="0" xfId="0"/>
    <xf numFmtId="0" fontId="2" fillId="0" borderId="6" pivotButton="0" quotePrefix="0" xfId="0"/>
    <xf numFmtId="0" fontId="2" fillId="0" borderId="7" pivotButton="0" quotePrefix="0" xfId="0"/>
    <xf numFmtId="0" fontId="3" fillId="2" borderId="0" applyAlignment="1" pivotButton="0" quotePrefix="0" xfId="0">
      <alignment horizontal="center" vertical="center"/>
    </xf>
    <xf numFmtId="0" fontId="1" fillId="2" borderId="2" applyAlignment="1" pivotButton="0" quotePrefix="0" xfId="0">
      <alignment horizontal="center" vertical="center"/>
    </xf>
    <xf numFmtId="0" fontId="1" fillId="0" borderId="8" pivotButton="0" quotePrefix="0" xfId="0"/>
    <xf numFmtId="0" fontId="1" fillId="2" borderId="9" applyAlignment="1" pivotButton="0" quotePrefix="0" xfId="0">
      <alignment horizontal="center" vertical="center"/>
    </xf>
    <xf numFmtId="0" fontId="2" fillId="0" borderId="10" pivotButton="0" quotePrefix="0" xfId="0"/>
    <xf numFmtId="0" fontId="4" fillId="5" borderId="1" applyAlignment="1" pivotButton="0" quotePrefix="0" xfId="0">
      <alignment horizontal="left" vertical="bottom"/>
    </xf>
    <xf numFmtId="0" fontId="2" fillId="0" borderId="1" pivotButton="0" quotePrefix="0" xfId="0"/>
    <xf numFmtId="0" fontId="1" fillId="2" borderId="3" applyAlignment="1" pivotButton="0" quotePrefix="0" xfId="0">
      <alignment horizontal="center" vertical="center"/>
    </xf>
    <xf numFmtId="0" fontId="1" fillId="5" borderId="1" applyAlignment="1" pivotButton="0" quotePrefix="0" xfId="0">
      <alignment wrapText="1"/>
    </xf>
    <xf numFmtId="0" fontId="1" fillId="2" borderId="0" applyAlignment="1" pivotButton="0" quotePrefix="0" xfId="0">
      <alignment horizontal="center" vertical="center" wrapText="1"/>
    </xf>
    <xf numFmtId="0" fontId="4" fillId="2" borderId="0"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3" applyAlignment="1" pivotButton="0" quotePrefix="0" xfId="0">
      <alignment horizontal="center" vertical="center"/>
    </xf>
    <xf numFmtId="0" fontId="5" fillId="0" borderId="1" pivotButton="0" quotePrefix="0" xfId="0"/>
    <xf numFmtId="0" fontId="6" fillId="0" borderId="0" applyAlignment="1" pivotButton="0" quotePrefix="0" xfId="0">
      <alignment vertical="bottom"/>
    </xf>
    <xf numFmtId="0" fontId="2" fillId="0" borderId="0" pivotButton="0" quotePrefix="0" xfId="0"/>
    <xf numFmtId="0" fontId="7" fillId="0" borderId="0" applyAlignment="1" pivotButton="0" quotePrefix="0" xfId="0">
      <alignment vertical="bottom"/>
    </xf>
    <xf numFmtId="0" fontId="2" fillId="6" borderId="0" pivotButton="0" quotePrefix="0" xfId="0"/>
    <xf numFmtId="0" fontId="1" fillId="0" borderId="0" applyAlignment="1" pivotButton="0" quotePrefix="0" xfId="0">
      <alignment vertical="center"/>
    </xf>
    <xf numFmtId="0" fontId="8" fillId="0" borderId="0" applyAlignment="1" pivotButton="0" quotePrefix="0" xfId="0">
      <alignment vertical="bottom"/>
    </xf>
    <xf numFmtId="0" fontId="9" fillId="0" borderId="0" pivotButton="0" quotePrefix="0" xfId="0"/>
    <xf numFmtId="0" fontId="6" fillId="7" borderId="4" applyAlignment="1" pivotButton="0" quotePrefix="0" xfId="0">
      <alignment horizontal="center" vertical="bottom"/>
    </xf>
    <xf numFmtId="0" fontId="6" fillId="8" borderId="0" applyAlignment="1" pivotButton="0" quotePrefix="0" xfId="0">
      <alignment horizontal="center" vertical="bottom"/>
    </xf>
    <xf numFmtId="3" fontId="6" fillId="9" borderId="0" applyAlignment="1" pivotButton="0" quotePrefix="0" xfId="0">
      <alignment horizontal="center" vertical="bottom"/>
    </xf>
    <xf numFmtId="0" fontId="6" fillId="10" borderId="0" applyAlignment="1" pivotButton="0" quotePrefix="0" xfId="0">
      <alignment horizontal="center" vertical="bottom"/>
    </xf>
    <xf numFmtId="0" fontId="2" fillId="0" borderId="5" applyAlignment="1" pivotButton="0" quotePrefix="0" xfId="0">
      <alignment horizontal="center"/>
    </xf>
    <xf numFmtId="0" fontId="6" fillId="11" borderId="0" applyAlignment="1" pivotButton="0" quotePrefix="0" xfId="0">
      <alignment horizontal="center" vertical="bottom"/>
    </xf>
    <xf numFmtId="0" fontId="6" fillId="12" borderId="0" applyAlignment="1" pivotButton="0" quotePrefix="0" xfId="0">
      <alignment horizontal="center" vertical="bottom"/>
    </xf>
    <xf numFmtId="0" fontId="6" fillId="13" borderId="0" applyAlignment="1" pivotButton="0" quotePrefix="0" xfId="0">
      <alignment horizontal="center" vertical="bottom"/>
    </xf>
    <xf numFmtId="0" fontId="6" fillId="14" borderId="0" applyAlignment="1" pivotButton="0" quotePrefix="0" xfId="0">
      <alignment horizontal="center" vertical="bottom"/>
    </xf>
    <xf numFmtId="0" fontId="6" fillId="15" borderId="0" applyAlignment="1" pivotButton="0" quotePrefix="0" xfId="0">
      <alignment horizontal="center" vertical="bottom"/>
    </xf>
    <xf numFmtId="0" fontId="6" fillId="16" borderId="0" applyAlignment="1" pivotButton="0" quotePrefix="0" xfId="0">
      <alignment horizontal="center" vertical="bottom"/>
    </xf>
    <xf numFmtId="0" fontId="6" fillId="17" borderId="0" applyAlignment="1" pivotButton="0" quotePrefix="0" xfId="0">
      <alignment horizontal="center" vertical="bottom"/>
    </xf>
    <xf numFmtId="0" fontId="6" fillId="18" borderId="0" applyAlignment="1" pivotButton="0" quotePrefix="0" xfId="0">
      <alignment horizontal="center" vertical="bottom"/>
    </xf>
    <xf numFmtId="2" fontId="6" fillId="19" borderId="0" applyAlignment="1" pivotButton="0" quotePrefix="0" xfId="0">
      <alignment horizontal="center" vertical="bottom"/>
    </xf>
    <xf numFmtId="0" fontId="6" fillId="20" borderId="4" applyAlignment="1" pivotButton="0" quotePrefix="0" xfId="0">
      <alignment horizontal="center" vertical="bottom"/>
    </xf>
    <xf numFmtId="0" fontId="6" fillId="21" borderId="0" applyAlignment="1" pivotButton="0" quotePrefix="0" xfId="0">
      <alignment horizontal="center" vertical="bottom"/>
    </xf>
    <xf numFmtId="2" fontId="6" fillId="5" borderId="0" applyAlignment="1" pivotButton="0" quotePrefix="0" xfId="0">
      <alignment horizontal="center" vertical="bottom"/>
    </xf>
    <xf numFmtId="0" fontId="6" fillId="22" borderId="5" applyAlignment="1" pivotButton="0" quotePrefix="0" xfId="0">
      <alignment horizontal="center" vertical="bottom"/>
    </xf>
    <xf numFmtId="0" fontId="6" fillId="23" borderId="0" applyAlignment="1" pivotButton="0" quotePrefix="0" xfId="0">
      <alignment vertical="bottom"/>
    </xf>
    <xf numFmtId="0" fontId="6" fillId="24" borderId="4" applyAlignment="1" pivotButton="0" quotePrefix="0" xfId="0">
      <alignment horizontal="center" vertical="bottom"/>
    </xf>
    <xf numFmtId="0" fontId="6" fillId="24" borderId="0" applyAlignment="1" pivotButton="0" quotePrefix="0" xfId="0">
      <alignment horizontal="center" vertical="bottom"/>
    </xf>
    <xf numFmtId="3" fontId="6" fillId="25" borderId="0" applyAlignment="1" pivotButton="0" quotePrefix="0" xfId="0">
      <alignment horizontal="center" vertical="bottom"/>
    </xf>
    <xf numFmtId="0" fontId="6" fillId="26" borderId="0" applyAlignment="1" pivotButton="0" quotePrefix="0" xfId="0">
      <alignment horizontal="center" vertical="bottom"/>
    </xf>
    <xf numFmtId="0" fontId="6" fillId="27" borderId="0" applyAlignment="1" pivotButton="0" quotePrefix="0" xfId="0">
      <alignment horizontal="center" vertical="bottom"/>
    </xf>
    <xf numFmtId="0" fontId="6" fillId="28" borderId="0" applyAlignment="1" pivotButton="0" quotePrefix="0" xfId="0">
      <alignment horizontal="center" vertical="bottom"/>
    </xf>
    <xf numFmtId="0" fontId="6" fillId="29" borderId="0" applyAlignment="1" pivotButton="0" quotePrefix="0" xfId="0">
      <alignment horizontal="center" vertical="bottom"/>
    </xf>
    <xf numFmtId="0" fontId="6" fillId="30" borderId="0" applyAlignment="1" pivotButton="0" quotePrefix="0" xfId="0">
      <alignment horizontal="center" vertical="bottom"/>
    </xf>
    <xf numFmtId="0" fontId="6" fillId="24" borderId="0" applyAlignment="1" pivotButton="0" quotePrefix="0" xfId="0">
      <alignment horizontal="center" vertical="bottom"/>
    </xf>
    <xf numFmtId="0" fontId="6" fillId="5" borderId="4" applyAlignment="1" pivotButton="0" quotePrefix="0" xfId="0">
      <alignment horizontal="center" vertical="bottom"/>
    </xf>
    <xf numFmtId="0" fontId="6" fillId="31" borderId="0" applyAlignment="1" pivotButton="0" quotePrefix="0" xfId="0">
      <alignment horizontal="center" vertical="bottom"/>
    </xf>
    <xf numFmtId="0" fontId="6" fillId="32" borderId="5" applyAlignment="1" pivotButton="0" quotePrefix="0" xfId="0">
      <alignment horizontal="center" vertical="bottom"/>
    </xf>
    <xf numFmtId="0" fontId="6" fillId="14" borderId="0" applyAlignment="1" pivotButton="0" quotePrefix="0" xfId="0">
      <alignment vertical="bottom"/>
    </xf>
    <xf numFmtId="0" fontId="6" fillId="33" borderId="4" applyAlignment="1" pivotButton="0" quotePrefix="0" xfId="0">
      <alignment horizontal="center" vertical="bottom"/>
    </xf>
    <xf numFmtId="0" fontId="6" fillId="34" borderId="0" applyAlignment="1" pivotButton="0" quotePrefix="0" xfId="0">
      <alignment horizontal="center" vertical="bottom"/>
    </xf>
    <xf numFmtId="3" fontId="6" fillId="35" borderId="0" applyAlignment="1" pivotButton="0" quotePrefix="0" xfId="0">
      <alignment horizontal="center" vertical="bottom"/>
    </xf>
    <xf numFmtId="0" fontId="6" fillId="5" borderId="0" applyAlignment="1" pivotButton="0" quotePrefix="0" xfId="0">
      <alignment horizontal="center" vertical="bottom"/>
    </xf>
    <xf numFmtId="0" fontId="6" fillId="36" borderId="0" applyAlignment="1" pivotButton="0" quotePrefix="0" xfId="0">
      <alignment horizontal="center" vertical="bottom"/>
    </xf>
    <xf numFmtId="0" fontId="6" fillId="37" borderId="0" applyAlignment="1" pivotButton="0" quotePrefix="0" xfId="0">
      <alignment horizontal="center" vertical="bottom"/>
    </xf>
    <xf numFmtId="0" fontId="6" fillId="23" borderId="0" applyAlignment="1" pivotButton="0" quotePrefix="0" xfId="0">
      <alignment horizontal="center" vertical="bottom"/>
    </xf>
    <xf numFmtId="0" fontId="6" fillId="5" borderId="0" applyAlignment="1" pivotButton="0" quotePrefix="0" xfId="0">
      <alignment horizontal="center" vertical="bottom"/>
    </xf>
    <xf numFmtId="0" fontId="6" fillId="38" borderId="0" applyAlignment="1" pivotButton="0" quotePrefix="0" xfId="0">
      <alignment horizontal="center" vertical="bottom"/>
    </xf>
    <xf numFmtId="0" fontId="6" fillId="39" borderId="0" applyAlignment="1" pivotButton="0" quotePrefix="0" xfId="0">
      <alignment horizontal="center" vertical="bottom"/>
    </xf>
    <xf numFmtId="0" fontId="6" fillId="40" borderId="0" applyAlignment="1" pivotButton="0" quotePrefix="0" xfId="0">
      <alignment horizontal="center" vertical="bottom"/>
    </xf>
    <xf numFmtId="0" fontId="6" fillId="41" borderId="4" applyAlignment="1" pivotButton="0" quotePrefix="0" xfId="0">
      <alignment horizontal="center" vertical="bottom"/>
    </xf>
    <xf numFmtId="0" fontId="6" fillId="7" borderId="0" applyAlignment="1" pivotButton="0" quotePrefix="0" xfId="0">
      <alignment horizontal="center" vertical="bottom"/>
    </xf>
    <xf numFmtId="2" fontId="6" fillId="42" borderId="0" applyAlignment="1" pivotButton="0" quotePrefix="0" xfId="0">
      <alignment horizontal="center" vertical="bottom"/>
    </xf>
    <xf numFmtId="0" fontId="6" fillId="43" borderId="5" applyAlignment="1" pivotButton="0" quotePrefix="0" xfId="0">
      <alignment horizontal="center" vertical="bottom"/>
    </xf>
    <xf numFmtId="0" fontId="6" fillId="44" borderId="4" applyAlignment="1" pivotButton="0" quotePrefix="0" xfId="0">
      <alignment horizontal="center" vertical="bottom"/>
    </xf>
    <xf numFmtId="0" fontId="6" fillId="45" borderId="0" applyAlignment="1" pivotButton="0" quotePrefix="0" xfId="0">
      <alignment horizontal="center" vertical="bottom"/>
    </xf>
    <xf numFmtId="3" fontId="6" fillId="46" borderId="0" applyAlignment="1" pivotButton="0" quotePrefix="0" xfId="0">
      <alignment horizontal="center" vertical="bottom"/>
    </xf>
    <xf numFmtId="0" fontId="6" fillId="47" borderId="0" applyAlignment="1" pivotButton="0" quotePrefix="0" xfId="0">
      <alignment horizontal="center" vertical="bottom"/>
    </xf>
    <xf numFmtId="0" fontId="6" fillId="20" borderId="0" applyAlignment="1" pivotButton="0" quotePrefix="0" xfId="0">
      <alignment horizontal="center" vertical="bottom"/>
    </xf>
    <xf numFmtId="0" fontId="6" fillId="48" borderId="0" applyAlignment="1" pivotButton="0" quotePrefix="0" xfId="0">
      <alignment horizontal="center" vertical="bottom"/>
    </xf>
    <xf numFmtId="0" fontId="6" fillId="49" borderId="0" applyAlignment="1" pivotButton="0" quotePrefix="0" xfId="0">
      <alignment horizontal="center" vertical="bottom"/>
    </xf>
    <xf numFmtId="0" fontId="6" fillId="50" borderId="0" applyAlignment="1" pivotButton="0" quotePrefix="0" xfId="0">
      <alignment horizontal="center" vertical="bottom"/>
    </xf>
    <xf numFmtId="0" fontId="6" fillId="51" borderId="0" applyAlignment="1" pivotButton="0" quotePrefix="0" xfId="0">
      <alignment horizontal="center" vertical="bottom"/>
    </xf>
    <xf numFmtId="0" fontId="6" fillId="52" borderId="4" applyAlignment="1" pivotButton="0" quotePrefix="0" xfId="0">
      <alignment horizontal="center" vertical="bottom"/>
    </xf>
    <xf numFmtId="0" fontId="6" fillId="53" borderId="0" applyAlignment="1" pivotButton="0" quotePrefix="0" xfId="0">
      <alignment horizontal="center" vertical="bottom"/>
    </xf>
    <xf numFmtId="2" fontId="6" fillId="54" borderId="0" applyAlignment="1" pivotButton="0" quotePrefix="0" xfId="0">
      <alignment horizontal="center" vertical="bottom"/>
    </xf>
    <xf numFmtId="0" fontId="6" fillId="17" borderId="5" applyAlignment="1" pivotButton="0" quotePrefix="0" xfId="0">
      <alignment horizontal="center" vertical="bottom"/>
    </xf>
    <xf numFmtId="0" fontId="6" fillId="55" borderId="4" applyAlignment="1" pivotButton="0" quotePrefix="0" xfId="0">
      <alignment horizontal="center" vertical="bottom"/>
    </xf>
    <xf numFmtId="0" fontId="6" fillId="56" borderId="0" applyAlignment="1" pivotButton="0" quotePrefix="0" xfId="0">
      <alignment horizontal="center" vertical="bottom"/>
    </xf>
    <xf numFmtId="3" fontId="6" fillId="57" borderId="0" applyAlignment="1" pivotButton="0" quotePrefix="0" xfId="0">
      <alignment horizontal="center" vertical="bottom"/>
    </xf>
    <xf numFmtId="0" fontId="6" fillId="22" borderId="0" applyAlignment="1" pivotButton="0" quotePrefix="0" xfId="0">
      <alignment horizontal="center" vertical="bottom"/>
    </xf>
    <xf numFmtId="0" fontId="6" fillId="58" borderId="0" applyAlignment="1" pivotButton="0" quotePrefix="0" xfId="0">
      <alignment horizontal="center" vertical="bottom"/>
    </xf>
    <xf numFmtId="0" fontId="6" fillId="59" borderId="0" applyAlignment="1" pivotButton="0" quotePrefix="0" xfId="0">
      <alignment horizontal="center" vertical="bottom"/>
    </xf>
    <xf numFmtId="0" fontId="6" fillId="60" borderId="0" applyAlignment="1" pivotButton="0" quotePrefix="0" xfId="0">
      <alignment horizontal="center" vertical="bottom"/>
    </xf>
    <xf numFmtId="0" fontId="6" fillId="61" borderId="0" applyAlignment="1" pivotButton="0" quotePrefix="0" xfId="0">
      <alignment horizontal="center" vertical="bottom"/>
    </xf>
    <xf numFmtId="0" fontId="6" fillId="16" borderId="5" applyAlignment="1" pivotButton="0" quotePrefix="0" xfId="0">
      <alignment horizontal="center" vertical="bottom"/>
    </xf>
    <xf numFmtId="0" fontId="6" fillId="62" borderId="4" applyAlignment="1" pivotButton="0" quotePrefix="0" xfId="0">
      <alignment horizontal="center" vertical="bottom"/>
    </xf>
    <xf numFmtId="0" fontId="6" fillId="31" borderId="0" applyAlignment="1" pivotButton="0" quotePrefix="0" xfId="0">
      <alignment horizontal="center" vertical="bottom"/>
    </xf>
    <xf numFmtId="3" fontId="6" fillId="24" borderId="0" applyAlignment="1" pivotButton="0" quotePrefix="0" xfId="0">
      <alignment horizontal="center" vertical="bottom"/>
    </xf>
    <xf numFmtId="0" fontId="6" fillId="63" borderId="0" applyAlignment="1" pivotButton="0" quotePrefix="0" xfId="0">
      <alignment horizontal="center" vertical="bottom"/>
    </xf>
    <xf numFmtId="0" fontId="6" fillId="64" borderId="0" applyAlignment="1" pivotButton="0" quotePrefix="0" xfId="0">
      <alignment horizontal="center" vertical="bottom"/>
    </xf>
    <xf numFmtId="0" fontId="6" fillId="65" borderId="0" applyAlignment="1" pivotButton="0" quotePrefix="0" xfId="0">
      <alignment horizontal="center" vertical="bottom"/>
    </xf>
    <xf numFmtId="0" fontId="6" fillId="66" borderId="0" applyAlignment="1" pivotButton="0" quotePrefix="0" xfId="0">
      <alignment horizontal="center" vertical="bottom"/>
    </xf>
    <xf numFmtId="0" fontId="6" fillId="67" borderId="0" applyAlignment="1" pivotButton="0" quotePrefix="0" xfId="0">
      <alignment horizontal="center" vertical="bottom"/>
    </xf>
    <xf numFmtId="0" fontId="6" fillId="68" borderId="0" applyAlignment="1" pivotButton="0" quotePrefix="0" xfId="0">
      <alignment horizontal="center" vertical="bottom"/>
    </xf>
    <xf numFmtId="0" fontId="6" fillId="69" borderId="0" applyAlignment="1" pivotButton="0" quotePrefix="0" xfId="0">
      <alignment horizontal="center" vertical="bottom"/>
    </xf>
    <xf numFmtId="2" fontId="6" fillId="70" borderId="0" applyAlignment="1" pivotButton="0" quotePrefix="0" xfId="0">
      <alignment horizontal="center" vertical="bottom"/>
    </xf>
    <xf numFmtId="0" fontId="6" fillId="71" borderId="5" applyAlignment="1" pivotButton="0" quotePrefix="0" xfId="0">
      <alignment horizontal="center" vertical="bottom"/>
    </xf>
    <xf numFmtId="0" fontId="6" fillId="72" borderId="4" applyAlignment="1" pivotButton="0" quotePrefix="0" xfId="0">
      <alignment horizontal="center" vertical="bottom"/>
    </xf>
    <xf numFmtId="0" fontId="6" fillId="73" borderId="0" applyAlignment="1" pivotButton="0" quotePrefix="0" xfId="0">
      <alignment horizontal="center" vertical="bottom"/>
    </xf>
    <xf numFmtId="0" fontId="6" fillId="74" borderId="0" applyAlignment="1" pivotButton="0" quotePrefix="0" xfId="0">
      <alignment horizontal="center" vertical="bottom"/>
    </xf>
    <xf numFmtId="0" fontId="6" fillId="75" borderId="0" applyAlignment="1" pivotButton="0" quotePrefix="0" xfId="0">
      <alignment horizontal="center" vertical="bottom"/>
    </xf>
    <xf numFmtId="0" fontId="6" fillId="76" borderId="0" applyAlignment="1" pivotButton="0" quotePrefix="0" xfId="0">
      <alignment horizontal="center" vertical="bottom"/>
    </xf>
    <xf numFmtId="0" fontId="6" fillId="77" borderId="0" applyAlignment="1" pivotButton="0" quotePrefix="0" xfId="0">
      <alignment horizontal="center" vertical="bottom"/>
    </xf>
    <xf numFmtId="0" fontId="6" fillId="78" borderId="0" applyAlignment="1" pivotButton="0" quotePrefix="0" xfId="0">
      <alignment horizontal="center" vertical="bottom"/>
    </xf>
    <xf numFmtId="0" fontId="6" fillId="79" borderId="0" applyAlignment="1" pivotButton="0" quotePrefix="0" xfId="0">
      <alignment horizontal="center" vertical="bottom"/>
    </xf>
    <xf numFmtId="0" fontId="6" fillId="80" borderId="0" applyAlignment="1" pivotButton="0" quotePrefix="0" xfId="0">
      <alignment horizontal="center" vertical="bottom"/>
    </xf>
    <xf numFmtId="0" fontId="6" fillId="47" borderId="4" applyAlignment="1" pivotButton="0" quotePrefix="0" xfId="0">
      <alignment horizontal="center" vertical="bottom"/>
    </xf>
    <xf numFmtId="0" fontId="6" fillId="81" borderId="0" applyAlignment="1" pivotButton="0" quotePrefix="0" xfId="0">
      <alignment horizontal="center" vertical="bottom"/>
    </xf>
    <xf numFmtId="2" fontId="6" fillId="82" borderId="0" applyAlignment="1" pivotButton="0" quotePrefix="0" xfId="0">
      <alignment horizontal="center" vertical="bottom"/>
    </xf>
    <xf numFmtId="0" fontId="6" fillId="83" borderId="5" applyAlignment="1" pivotButton="0" quotePrefix="0" xfId="0">
      <alignment horizontal="center" vertical="bottom"/>
    </xf>
    <xf numFmtId="0" fontId="6" fillId="84" borderId="4" applyAlignment="1" pivotButton="0" quotePrefix="0" xfId="0">
      <alignment horizontal="center" vertical="bottom"/>
    </xf>
    <xf numFmtId="0" fontId="6" fillId="85" borderId="0" applyAlignment="1" pivotButton="0" quotePrefix="0" xfId="0">
      <alignment horizontal="center" vertical="bottom"/>
    </xf>
    <xf numFmtId="3" fontId="6" fillId="86" borderId="0" applyAlignment="1" pivotButton="0" quotePrefix="0" xfId="0">
      <alignment horizontal="center" vertical="bottom"/>
    </xf>
    <xf numFmtId="0" fontId="6" fillId="87" borderId="0" applyAlignment="1" pivotButton="0" quotePrefix="0" xfId="0">
      <alignment horizontal="center" vertical="bottom"/>
    </xf>
    <xf numFmtId="0" fontId="6" fillId="12" borderId="0" applyAlignment="1" pivotButton="0" quotePrefix="0" xfId="0">
      <alignment horizontal="center" vertical="bottom"/>
    </xf>
    <xf numFmtId="0" fontId="6" fillId="88" borderId="0" applyAlignment="1" pivotButton="0" quotePrefix="0" xfId="0">
      <alignment horizontal="center" vertical="bottom"/>
    </xf>
    <xf numFmtId="0" fontId="6" fillId="89" borderId="0" applyAlignment="1" pivotButton="0" quotePrefix="0" xfId="0">
      <alignment horizontal="center" vertical="bottom"/>
    </xf>
    <xf numFmtId="0" fontId="6" fillId="90" borderId="0" applyAlignment="1" pivotButton="0" quotePrefix="0" xfId="0">
      <alignment horizontal="center" vertical="bottom"/>
    </xf>
    <xf numFmtId="0" fontId="6" fillId="91" borderId="0" applyAlignment="1" pivotButton="0" quotePrefix="0" xfId="0">
      <alignment horizontal="center" vertical="bottom"/>
    </xf>
    <xf numFmtId="0" fontId="6" fillId="92" borderId="0" applyAlignment="1" pivotButton="0" quotePrefix="0" xfId="0">
      <alignment horizontal="center" vertical="bottom"/>
    </xf>
    <xf numFmtId="0" fontId="6" fillId="11" borderId="4" applyAlignment="1" pivotButton="0" quotePrefix="0" xfId="0">
      <alignment horizontal="center" vertical="bottom"/>
    </xf>
    <xf numFmtId="0" fontId="6" fillId="93" borderId="0" applyAlignment="1" pivotButton="0" quotePrefix="0" xfId="0">
      <alignment horizontal="center" vertical="bottom"/>
    </xf>
    <xf numFmtId="2" fontId="6" fillId="94" borderId="0" applyAlignment="1" pivotButton="0" quotePrefix="0" xfId="0">
      <alignment horizontal="center" vertical="bottom"/>
    </xf>
    <xf numFmtId="0" fontId="6" fillId="95" borderId="4" applyAlignment="1" pivotButton="0" quotePrefix="0" xfId="0">
      <alignment horizontal="center" vertical="bottom"/>
    </xf>
    <xf numFmtId="0" fontId="6" fillId="96" borderId="0" applyAlignment="1" pivotButton="0" quotePrefix="0" xfId="0">
      <alignment horizontal="center" vertical="bottom"/>
    </xf>
    <xf numFmtId="3" fontId="6" fillId="97" borderId="0" applyAlignment="1" pivotButton="0" quotePrefix="0" xfId="0">
      <alignment horizontal="center" vertical="bottom"/>
    </xf>
    <xf numFmtId="0" fontId="6" fillId="98" borderId="0" applyAlignment="1" pivotButton="0" quotePrefix="0" xfId="0">
      <alignment horizontal="center" vertical="bottom"/>
    </xf>
    <xf numFmtId="0" fontId="6" fillId="80" borderId="0" applyAlignment="1" pivotButton="0" quotePrefix="0" xfId="0">
      <alignment horizontal="center" vertical="bottom"/>
    </xf>
    <xf numFmtId="0" fontId="6" fillId="95" borderId="0" applyAlignment="1" pivotButton="0" quotePrefix="0" xfId="0">
      <alignment horizontal="center" vertical="bottom"/>
    </xf>
    <xf numFmtId="0" fontId="6" fillId="99" borderId="0" applyAlignment="1" pivotButton="0" quotePrefix="0" xfId="0">
      <alignment horizontal="center" vertical="bottom"/>
    </xf>
    <xf numFmtId="0" fontId="6" fillId="100" borderId="0" applyAlignment="1" pivotButton="0" quotePrefix="0" xfId="0">
      <alignment horizontal="center" vertical="bottom"/>
    </xf>
    <xf numFmtId="0" fontId="6" fillId="101" borderId="0" applyAlignment="1" pivotButton="0" quotePrefix="0" xfId="0">
      <alignment horizontal="center" vertical="bottom"/>
    </xf>
    <xf numFmtId="0" fontId="6" fillId="102" borderId="0" applyAlignment="1" pivotButton="0" quotePrefix="0" xfId="0">
      <alignment horizontal="center" vertical="bottom"/>
    </xf>
    <xf numFmtId="0" fontId="6" fillId="5" borderId="0" applyAlignment="1" pivotButton="0" quotePrefix="0" xfId="0">
      <alignment horizontal="center" vertical="bottom"/>
    </xf>
    <xf numFmtId="2" fontId="6" fillId="103" borderId="0" applyAlignment="1" pivotButton="0" quotePrefix="0" xfId="0">
      <alignment horizontal="center" vertical="bottom"/>
    </xf>
    <xf numFmtId="0" fontId="6" fillId="104" borderId="0" applyAlignment="1" pivotButton="0" quotePrefix="0" xfId="0">
      <alignment horizontal="center" vertical="bottom"/>
    </xf>
    <xf numFmtId="3" fontId="6" fillId="69" borderId="0" applyAlignment="1" pivotButton="0" quotePrefix="0" xfId="0">
      <alignment horizontal="center" vertical="bottom"/>
    </xf>
    <xf numFmtId="0" fontId="6" fillId="105" borderId="0" applyAlignment="1" pivotButton="0" quotePrefix="0" xfId="0">
      <alignment horizontal="center" vertical="bottom"/>
    </xf>
    <xf numFmtId="0" fontId="6" fillId="106" borderId="0" applyAlignment="1" pivotButton="0" quotePrefix="0" xfId="0">
      <alignment horizontal="center" vertical="bottom"/>
    </xf>
    <xf numFmtId="0" fontId="6" fillId="107" borderId="0" applyAlignment="1" pivotButton="0" quotePrefix="0" xfId="0">
      <alignment horizontal="center" vertical="bottom"/>
    </xf>
    <xf numFmtId="0" fontId="6" fillId="45" borderId="0" applyAlignment="1" pivotButton="0" quotePrefix="0" xfId="0">
      <alignment horizontal="center" vertical="bottom"/>
    </xf>
    <xf numFmtId="0" fontId="6" fillId="73" borderId="0" applyAlignment="1" pivotButton="0" quotePrefix="0" xfId="0">
      <alignment horizontal="center" vertical="bottom"/>
    </xf>
    <xf numFmtId="0" fontId="6" fillId="108" borderId="4" applyAlignment="1" pivotButton="0" quotePrefix="0" xfId="0">
      <alignment horizontal="center" vertical="bottom"/>
    </xf>
    <xf numFmtId="0" fontId="6" fillId="109" borderId="0" applyAlignment="1" pivotButton="0" quotePrefix="0" xfId="0">
      <alignment horizontal="center" vertical="bottom"/>
    </xf>
    <xf numFmtId="2" fontId="6" fillId="110" borderId="0" applyAlignment="1" pivotButton="0" quotePrefix="0" xfId="0">
      <alignment horizontal="center" vertical="bottom"/>
    </xf>
    <xf numFmtId="0" fontId="6" fillId="111" borderId="5" applyAlignment="1" pivotButton="0" quotePrefix="0" xfId="0">
      <alignment horizontal="center" vertical="bottom"/>
    </xf>
    <xf numFmtId="0" fontId="6" fillId="112" borderId="4" applyAlignment="1" pivotButton="0" quotePrefix="0" xfId="0">
      <alignment horizontal="center" vertical="bottom"/>
    </xf>
    <xf numFmtId="0" fontId="6" fillId="113" borderId="0" applyAlignment="1" pivotButton="0" quotePrefix="0" xfId="0">
      <alignment horizontal="center" vertical="bottom"/>
    </xf>
    <xf numFmtId="3" fontId="6" fillId="114" borderId="0" applyAlignment="1" pivotButton="0" quotePrefix="0" xfId="0">
      <alignment horizontal="center" vertical="bottom"/>
    </xf>
    <xf numFmtId="0" fontId="6" fillId="35" borderId="0" applyAlignment="1" pivotButton="0" quotePrefix="0" xfId="0">
      <alignment horizontal="center" vertical="bottom"/>
    </xf>
    <xf numFmtId="0" fontId="6" fillId="115" borderId="0" applyAlignment="1" pivotButton="0" quotePrefix="0" xfId="0">
      <alignment horizontal="center" vertical="bottom"/>
    </xf>
    <xf numFmtId="0" fontId="6" fillId="75" borderId="0" applyAlignment="1" pivotButton="0" quotePrefix="0" xfId="0">
      <alignment horizontal="center" vertical="bottom"/>
    </xf>
    <xf numFmtId="0" fontId="6" fillId="116" borderId="0" applyAlignment="1" pivotButton="0" quotePrefix="0" xfId="0">
      <alignment horizontal="center" vertical="bottom"/>
    </xf>
    <xf numFmtId="0" fontId="6" fillId="117" borderId="0" applyAlignment="1" pivotButton="0" quotePrefix="0" xfId="0">
      <alignment horizontal="center" vertical="bottom"/>
    </xf>
    <xf numFmtId="0" fontId="6" fillId="24" borderId="5" applyAlignment="1" pivotButton="0" quotePrefix="0" xfId="0">
      <alignment horizontal="center" vertical="bottom"/>
    </xf>
    <xf numFmtId="0" fontId="6" fillId="118" borderId="4" applyAlignment="1" pivotButton="0" quotePrefix="0" xfId="0">
      <alignment horizontal="center" vertical="bottom"/>
    </xf>
    <xf numFmtId="0" fontId="6" fillId="119" borderId="0" applyAlignment="1" pivotButton="0" quotePrefix="0" xfId="0">
      <alignment horizontal="center" vertical="bottom"/>
    </xf>
    <xf numFmtId="3" fontId="6" fillId="120" borderId="0" applyAlignment="1" pivotButton="0" quotePrefix="0" xfId="0">
      <alignment horizontal="center" vertical="bottom"/>
    </xf>
    <xf numFmtId="0" fontId="6" fillId="121" borderId="0" applyAlignment="1" pivotButton="0" quotePrefix="0" xfId="0">
      <alignment horizontal="center" vertical="bottom"/>
    </xf>
    <xf numFmtId="0" fontId="6" fillId="122" borderId="0" applyAlignment="1" pivotButton="0" quotePrefix="0" xfId="0">
      <alignment horizontal="center" vertical="bottom"/>
    </xf>
    <xf numFmtId="0" fontId="6" fillId="123" borderId="0" applyAlignment="1" pivotButton="0" quotePrefix="0" xfId="0">
      <alignment horizontal="center" vertical="bottom"/>
    </xf>
    <xf numFmtId="0" fontId="6" fillId="124" borderId="0" applyAlignment="1" pivotButton="0" quotePrefix="0" xfId="0">
      <alignment horizontal="center" vertical="bottom"/>
    </xf>
    <xf numFmtId="0" fontId="6" fillId="125" borderId="0" applyAlignment="1" pivotButton="0" quotePrefix="0" xfId="0">
      <alignment horizontal="center" vertical="bottom"/>
    </xf>
    <xf numFmtId="0" fontId="6" fillId="126" borderId="4" applyAlignment="1" pivotButton="0" quotePrefix="0" xfId="0">
      <alignment horizontal="center" vertical="bottom"/>
    </xf>
    <xf numFmtId="0" fontId="6" fillId="127" borderId="0" applyAlignment="1" pivotButton="0" quotePrefix="0" xfId="0">
      <alignment horizontal="center" vertical="bottom"/>
    </xf>
    <xf numFmtId="2" fontId="6" fillId="128" borderId="0" applyAlignment="1" pivotButton="0" quotePrefix="0" xfId="0">
      <alignment horizontal="center" vertical="bottom"/>
    </xf>
    <xf numFmtId="0" fontId="6" fillId="129" borderId="4" applyAlignment="1" pivotButton="0" quotePrefix="0" xfId="0">
      <alignment horizontal="center" vertical="bottom"/>
    </xf>
    <xf numFmtId="0" fontId="6" fillId="130" borderId="0" applyAlignment="1" pivotButton="0" quotePrefix="0" xfId="0">
      <alignment horizontal="center" vertical="bottom"/>
    </xf>
    <xf numFmtId="0" fontId="6" fillId="131" borderId="0" applyAlignment="1" pivotButton="0" quotePrefix="0" xfId="0">
      <alignment horizontal="center" vertical="bottom"/>
    </xf>
    <xf numFmtId="0" fontId="6" fillId="132" borderId="0" applyAlignment="1" pivotButton="0" quotePrefix="0" xfId="0">
      <alignment horizontal="center" vertical="bottom"/>
    </xf>
    <xf numFmtId="0" fontId="6" fillId="133" borderId="0" applyAlignment="1" pivotButton="0" quotePrefix="0" xfId="0">
      <alignment horizontal="center" vertical="bottom"/>
    </xf>
    <xf numFmtId="0" fontId="6" fillId="31" borderId="0" applyAlignment="1" pivotButton="0" quotePrefix="0" xfId="0">
      <alignment horizontal="center" vertical="bottom"/>
    </xf>
    <xf numFmtId="0" fontId="6" fillId="134" borderId="0" applyAlignment="1" pivotButton="0" quotePrefix="0" xfId="0">
      <alignment horizontal="center" vertical="bottom"/>
    </xf>
    <xf numFmtId="0" fontId="6" fillId="135" borderId="4" applyAlignment="1" pivotButton="0" quotePrefix="0" xfId="0">
      <alignment horizontal="center" vertical="bottom"/>
    </xf>
    <xf numFmtId="0" fontId="6" fillId="136" borderId="0" applyAlignment="1" pivotButton="0" quotePrefix="0" xfId="0">
      <alignment horizontal="center" vertical="bottom"/>
    </xf>
    <xf numFmtId="0" fontId="6" fillId="137" borderId="4" applyAlignment="1" pivotButton="0" quotePrefix="0" xfId="0">
      <alignment horizontal="center" vertical="bottom"/>
    </xf>
    <xf numFmtId="0" fontId="6" fillId="138" borderId="0" applyAlignment="1" pivotButton="0" quotePrefix="0" xfId="0">
      <alignment horizontal="center" vertical="bottom"/>
    </xf>
    <xf numFmtId="3" fontId="6" fillId="66" borderId="0" applyAlignment="1" pivotButton="0" quotePrefix="0" xfId="0">
      <alignment horizontal="center" vertical="bottom"/>
    </xf>
    <xf numFmtId="0" fontId="6" fillId="127" borderId="0" applyAlignment="1" pivotButton="0" quotePrefix="0" xfId="0">
      <alignment horizontal="center" vertical="bottom"/>
    </xf>
    <xf numFmtId="0" fontId="6" fillId="139" borderId="0" applyAlignment="1" pivotButton="0" quotePrefix="0" xfId="0">
      <alignment horizontal="center" vertical="bottom"/>
    </xf>
    <xf numFmtId="0" fontId="6" fillId="140" borderId="0" applyAlignment="1" pivotButton="0" quotePrefix="0" xfId="0">
      <alignment horizontal="center" vertical="bottom"/>
    </xf>
    <xf numFmtId="0" fontId="6" fillId="141" borderId="0" applyAlignment="1" pivotButton="0" quotePrefix="0" xfId="0">
      <alignment horizontal="center" vertical="bottom"/>
    </xf>
    <xf numFmtId="0" fontId="6" fillId="142" borderId="4" applyAlignment="1" pivotButton="0" quotePrefix="0" xfId="0">
      <alignment horizontal="center" vertical="bottom"/>
    </xf>
    <xf numFmtId="0" fontId="6" fillId="143" borderId="0" applyAlignment="1" pivotButton="0" quotePrefix="0" xfId="0">
      <alignment horizontal="center" vertical="bottom"/>
    </xf>
    <xf numFmtId="2" fontId="6" fillId="144" borderId="0" applyAlignment="1" pivotButton="0" quotePrefix="0" xfId="0">
      <alignment horizontal="center" vertical="bottom"/>
    </xf>
    <xf numFmtId="0" fontId="6" fillId="19" borderId="5" applyAlignment="1" pivotButton="0" quotePrefix="0" xfId="0">
      <alignment horizontal="center" vertical="bottom"/>
    </xf>
    <xf numFmtId="0" fontId="6" fillId="145" borderId="4" applyAlignment="1" pivotButton="0" quotePrefix="0" xfId="0">
      <alignment horizontal="center" vertical="bottom"/>
    </xf>
    <xf numFmtId="0" fontId="6" fillId="39" borderId="0" applyAlignment="1" pivotButton="0" quotePrefix="0" xfId="0">
      <alignment horizontal="center" vertical="bottom"/>
    </xf>
    <xf numFmtId="0" fontId="6" fillId="7" borderId="0" applyAlignment="1" pivotButton="0" quotePrefix="0" xfId="0">
      <alignment horizontal="center" vertical="bottom"/>
    </xf>
    <xf numFmtId="0" fontId="6" fillId="146" borderId="0" applyAlignment="1" pivotButton="0" quotePrefix="0" xfId="0">
      <alignment horizontal="center" vertical="bottom"/>
    </xf>
    <xf numFmtId="0" fontId="6" fillId="147" borderId="0" applyAlignment="1" pivotButton="0" quotePrefix="0" xfId="0">
      <alignment horizontal="center" vertical="bottom"/>
    </xf>
    <xf numFmtId="0" fontId="6" fillId="61" borderId="0" applyAlignment="1" pivotButton="0" quotePrefix="0" xfId="0">
      <alignment horizontal="center" vertical="bottom"/>
    </xf>
    <xf numFmtId="0" fontId="6" fillId="148" borderId="4" applyAlignment="1" pivotButton="0" quotePrefix="0" xfId="0">
      <alignment horizontal="center" vertical="bottom"/>
    </xf>
    <xf numFmtId="0" fontId="6" fillId="24" borderId="0" applyAlignment="1" pivotButton="0" quotePrefix="0" xfId="0">
      <alignment horizontal="center" vertical="bottom"/>
    </xf>
    <xf numFmtId="0" fontId="6" fillId="149" borderId="5" applyAlignment="1" pivotButton="0" quotePrefix="0" xfId="0">
      <alignment horizontal="center" vertical="bottom"/>
    </xf>
    <xf numFmtId="0" fontId="6" fillId="47" borderId="4" applyAlignment="1" pivotButton="0" quotePrefix="0" xfId="0">
      <alignment horizontal="center" vertical="bottom"/>
    </xf>
    <xf numFmtId="0" fontId="6" fillId="150" borderId="0" applyAlignment="1" pivotButton="0" quotePrefix="0" xfId="0">
      <alignment horizontal="center" vertical="bottom"/>
    </xf>
    <xf numFmtId="3" fontId="6" fillId="151" borderId="0" applyAlignment="1" pivotButton="0" quotePrefix="0" xfId="0">
      <alignment horizontal="center" vertical="bottom"/>
    </xf>
    <xf numFmtId="0" fontId="6" fillId="152" borderId="0" applyAlignment="1" pivotButton="0" quotePrefix="0" xfId="0">
      <alignment horizontal="center" vertical="bottom"/>
    </xf>
    <xf numFmtId="0" fontId="6" fillId="65" borderId="0" applyAlignment="1" pivotButton="0" quotePrefix="0" xfId="0">
      <alignment horizontal="center" vertical="bottom"/>
    </xf>
    <xf numFmtId="0" fontId="6" fillId="153" borderId="0" applyAlignment="1" pivotButton="0" quotePrefix="0" xfId="0">
      <alignment horizontal="center" vertical="bottom"/>
    </xf>
    <xf numFmtId="0" fontId="6" fillId="154" borderId="0" applyAlignment="1" pivotButton="0" quotePrefix="0" xfId="0">
      <alignment horizontal="center" vertical="bottom"/>
    </xf>
    <xf numFmtId="0" fontId="6" fillId="104" borderId="0" applyAlignment="1" pivotButton="0" quotePrefix="0" xfId="0">
      <alignment horizontal="center" vertical="bottom"/>
    </xf>
    <xf numFmtId="0" fontId="6" fillId="155" borderId="4" applyAlignment="1" pivotButton="0" quotePrefix="0" xfId="0">
      <alignment horizontal="center" vertical="bottom"/>
    </xf>
    <xf numFmtId="0" fontId="6" fillId="156" borderId="0" applyAlignment="1" pivotButton="0" quotePrefix="0" xfId="0">
      <alignment horizontal="center" vertical="bottom"/>
    </xf>
    <xf numFmtId="0" fontId="6" fillId="157" borderId="5" applyAlignment="1" pivotButton="0" quotePrefix="0" xfId="0">
      <alignment horizontal="center" vertical="bottom"/>
    </xf>
    <xf numFmtId="0" fontId="6" fillId="114" borderId="4" applyAlignment="1" pivotButton="0" quotePrefix="0" xfId="0">
      <alignment horizontal="center" vertical="bottom"/>
    </xf>
    <xf numFmtId="0" fontId="6" fillId="158" borderId="0" applyAlignment="1" pivotButton="0" quotePrefix="0" xfId="0">
      <alignment horizontal="center" vertical="bottom"/>
    </xf>
    <xf numFmtId="3" fontId="6" fillId="159" borderId="0" applyAlignment="1" pivotButton="0" quotePrefix="0" xfId="0">
      <alignment horizontal="center" vertical="bottom"/>
    </xf>
    <xf numFmtId="0" fontId="6" fillId="66" borderId="0" applyAlignment="1" pivotButton="0" quotePrefix="0" xfId="0">
      <alignment horizontal="center" vertical="bottom"/>
    </xf>
    <xf numFmtId="0" fontId="6" fillId="160" borderId="0" applyAlignment="1" pivotButton="0" quotePrefix="0" xfId="0">
      <alignment horizontal="center" vertical="bottom"/>
    </xf>
    <xf numFmtId="0" fontId="6" fillId="161" borderId="0" applyAlignment="1" pivotButton="0" quotePrefix="0" xfId="0">
      <alignment horizontal="center" vertical="bottom"/>
    </xf>
    <xf numFmtId="0" fontId="6" fillId="162" borderId="0" applyAlignment="1" pivotButton="0" quotePrefix="0" xfId="0">
      <alignment horizontal="center" vertical="bottom"/>
    </xf>
    <xf numFmtId="0" fontId="6" fillId="121" borderId="4" applyAlignment="1" pivotButton="0" quotePrefix="0" xfId="0">
      <alignment horizontal="center" vertical="bottom"/>
    </xf>
    <xf numFmtId="0" fontId="6" fillId="140" borderId="0" applyAlignment="1" pivotButton="0" quotePrefix="0" xfId="0">
      <alignment horizontal="center" vertical="bottom"/>
    </xf>
    <xf numFmtId="2" fontId="6" fillId="163" borderId="0" applyAlignment="1" pivotButton="0" quotePrefix="0" xfId="0">
      <alignment horizontal="center" vertical="bottom"/>
    </xf>
    <xf numFmtId="0" fontId="6" fillId="68" borderId="5" applyAlignment="1" pivotButton="0" quotePrefix="0" xfId="0">
      <alignment horizontal="center" vertical="bottom"/>
    </xf>
    <xf numFmtId="0" fontId="6" fillId="164" borderId="4" applyAlignment="1" pivotButton="0" quotePrefix="0" xfId="0">
      <alignment horizontal="center" vertical="bottom"/>
    </xf>
    <xf numFmtId="0" fontId="6" fillId="165" borderId="0" applyAlignment="1" pivotButton="0" quotePrefix="0" xfId="0">
      <alignment horizontal="center" vertical="bottom"/>
    </xf>
    <xf numFmtId="3" fontId="6" fillId="34" borderId="0" applyAlignment="1" pivotButton="0" quotePrefix="0" xfId="0">
      <alignment horizontal="center" vertical="bottom"/>
    </xf>
    <xf numFmtId="0" fontId="6" fillId="166" borderId="0" applyAlignment="1" pivotButton="0" quotePrefix="0" xfId="0">
      <alignment horizontal="center" vertical="bottom"/>
    </xf>
    <xf numFmtId="0" fontId="6" fillId="167" borderId="0" applyAlignment="1" pivotButton="0" quotePrefix="0" xfId="0">
      <alignment horizontal="center" vertical="bottom"/>
    </xf>
    <xf numFmtId="0" fontId="6" fillId="146" borderId="0" applyAlignment="1" pivotButton="0" quotePrefix="0" xfId="0">
      <alignment horizontal="center" vertical="bottom"/>
    </xf>
    <xf numFmtId="0" fontId="6" fillId="168" borderId="0" applyAlignment="1" pivotButton="0" quotePrefix="0" xfId="0">
      <alignment horizontal="center" vertical="bottom"/>
    </xf>
    <xf numFmtId="0" fontId="6" fillId="169" borderId="0" applyAlignment="1" pivotButton="0" quotePrefix="0" xfId="0">
      <alignment horizontal="center" vertical="bottom"/>
    </xf>
    <xf numFmtId="0" fontId="6" fillId="140" borderId="4" applyAlignment="1" pivotButton="0" quotePrefix="0" xfId="0">
      <alignment horizontal="center" vertical="bottom"/>
    </xf>
    <xf numFmtId="0" fontId="6" fillId="39" borderId="0" applyAlignment="1" pivotButton="0" quotePrefix="0" xfId="0">
      <alignment horizontal="center" vertical="bottom"/>
    </xf>
    <xf numFmtId="0" fontId="6" fillId="170" borderId="5" applyAlignment="1" pivotButton="0" quotePrefix="0" xfId="0">
      <alignment horizontal="center" vertical="bottom"/>
    </xf>
    <xf numFmtId="0" fontId="6" fillId="171" borderId="4" applyAlignment="1" pivotButton="0" quotePrefix="0" xfId="0">
      <alignment horizontal="center" vertical="bottom"/>
    </xf>
    <xf numFmtId="0" fontId="6" fillId="172" borderId="0" applyAlignment="1" pivotButton="0" quotePrefix="0" xfId="0">
      <alignment horizontal="center" vertical="bottom"/>
    </xf>
    <xf numFmtId="3" fontId="6" fillId="173" borderId="0" applyAlignment="1" pivotButton="0" quotePrefix="0" xfId="0">
      <alignment horizontal="center" vertical="bottom"/>
    </xf>
    <xf numFmtId="0" fontId="6" fillId="174" borderId="0" applyAlignment="1" pivotButton="0" quotePrefix="0" xfId="0">
      <alignment horizontal="center" vertical="bottom"/>
    </xf>
    <xf numFmtId="0" fontId="6" fillId="167" borderId="4" applyAlignment="1" pivotButton="0" quotePrefix="0" xfId="0">
      <alignment horizontal="center" vertical="bottom"/>
    </xf>
    <xf numFmtId="0" fontId="6" fillId="175" borderId="0" applyAlignment="1" pivotButton="0" quotePrefix="0" xfId="0">
      <alignment horizontal="center" vertical="bottom"/>
    </xf>
    <xf numFmtId="2" fontId="6" fillId="176" borderId="0" applyAlignment="1" pivotButton="0" quotePrefix="0" xfId="0">
      <alignment horizontal="center" vertical="bottom"/>
    </xf>
    <xf numFmtId="0" fontId="6" fillId="79" borderId="5" applyAlignment="1" pivotButton="0" quotePrefix="0" xfId="0">
      <alignment horizontal="center" vertical="bottom"/>
    </xf>
    <xf numFmtId="0" fontId="6" fillId="177" borderId="4" applyAlignment="1" pivotButton="0" quotePrefix="0" xfId="0">
      <alignment horizontal="center" vertical="bottom"/>
    </xf>
    <xf numFmtId="0" fontId="6" fillId="178" borderId="0" applyAlignment="1" pivotButton="0" quotePrefix="0" xfId="0">
      <alignment horizontal="center" vertical="bottom"/>
    </xf>
    <xf numFmtId="0" fontId="6" fillId="16" borderId="0" applyAlignment="1" pivotButton="0" quotePrefix="0" xfId="0">
      <alignment horizontal="center" vertical="bottom"/>
    </xf>
    <xf numFmtId="0" fontId="6" fillId="179" borderId="0" applyAlignment="1" pivotButton="0" quotePrefix="0" xfId="0">
      <alignment horizontal="center" vertical="bottom"/>
    </xf>
    <xf numFmtId="0" fontId="6" fillId="180" borderId="0" applyAlignment="1" pivotButton="0" quotePrefix="0" xfId="0">
      <alignment horizontal="center" vertical="bottom"/>
    </xf>
    <xf numFmtId="0" fontId="6" fillId="181" borderId="0" applyAlignment="1" pivotButton="0" quotePrefix="0" xfId="0">
      <alignment horizontal="center" vertical="bottom"/>
    </xf>
    <xf numFmtId="0" fontId="6" fillId="182" borderId="4" applyAlignment="1" pivotButton="0" quotePrefix="0" xfId="0">
      <alignment horizontal="center" vertical="bottom"/>
    </xf>
    <xf numFmtId="0" fontId="6" fillId="73" borderId="0" applyAlignment="1" pivotButton="0" quotePrefix="0" xfId="0">
      <alignment horizontal="center" vertical="bottom"/>
    </xf>
    <xf numFmtId="0" fontId="6" fillId="68" borderId="5" applyAlignment="1" pivotButton="0" quotePrefix="0" xfId="0">
      <alignment horizontal="center" vertical="bottom"/>
    </xf>
    <xf numFmtId="0" fontId="6" fillId="23" borderId="0" applyAlignment="1" pivotButton="0" quotePrefix="0" xfId="0">
      <alignment vertical="bottom"/>
    </xf>
    <xf numFmtId="0" fontId="6" fillId="183" borderId="4" applyAlignment="1" pivotButton="0" quotePrefix="0" xfId="0">
      <alignment horizontal="center" vertical="bottom"/>
    </xf>
    <xf numFmtId="0" fontId="6" fillId="184" borderId="0" applyAlignment="1" pivotButton="0" quotePrefix="0" xfId="0">
      <alignment horizontal="center" vertical="bottom"/>
    </xf>
    <xf numFmtId="3" fontId="6" fillId="185" borderId="0" applyAlignment="1" pivotButton="0" quotePrefix="0" xfId="0">
      <alignment horizontal="center" vertical="bottom"/>
    </xf>
    <xf numFmtId="0" fontId="6" fillId="99" borderId="0" applyAlignment="1" pivotButton="0" quotePrefix="0" xfId="0">
      <alignment horizontal="center" vertical="bottom"/>
    </xf>
    <xf numFmtId="0" fontId="6" fillId="67" borderId="0" applyAlignment="1" pivotButton="0" quotePrefix="0" xfId="0">
      <alignment horizontal="center" vertical="bottom"/>
    </xf>
    <xf numFmtId="0" fontId="6" fillId="186" borderId="0" applyAlignment="1" pivotButton="0" quotePrefix="0" xfId="0">
      <alignment horizontal="center" vertical="bottom"/>
    </xf>
    <xf numFmtId="0" fontId="6" fillId="187" borderId="0" applyAlignment="1" pivotButton="0" quotePrefix="0" xfId="0">
      <alignment horizontal="center" vertical="bottom"/>
    </xf>
    <xf numFmtId="0" fontId="6" fillId="171" borderId="0" applyAlignment="1" pivotButton="0" quotePrefix="0" xfId="0">
      <alignment horizontal="center" vertical="bottom"/>
    </xf>
    <xf numFmtId="2" fontId="6" fillId="188" borderId="0" applyAlignment="1" pivotButton="0" quotePrefix="0" xfId="0">
      <alignment horizontal="center" vertical="bottom"/>
    </xf>
    <xf numFmtId="0" fontId="6" fillId="149" borderId="5" applyAlignment="1" pivotButton="0" quotePrefix="0" xfId="0">
      <alignment horizontal="center" vertical="bottom"/>
    </xf>
    <xf numFmtId="0" fontId="6" fillId="189" borderId="4" applyAlignment="1" pivotButton="0" quotePrefix="0" xfId="0">
      <alignment horizontal="center" vertical="bottom"/>
    </xf>
    <xf numFmtId="0" fontId="6" fillId="190" borderId="0" applyAlignment="1" pivotButton="0" quotePrefix="0" xfId="0">
      <alignment horizontal="center" vertical="bottom"/>
    </xf>
    <xf numFmtId="0" fontId="6" fillId="46" borderId="0" applyAlignment="1" pivotButton="0" quotePrefix="0" xfId="0">
      <alignment horizontal="center" vertical="bottom"/>
    </xf>
    <xf numFmtId="0" fontId="6" fillId="191" borderId="0" applyAlignment="1" pivotButton="0" quotePrefix="0" xfId="0">
      <alignment horizontal="center" vertical="bottom"/>
    </xf>
    <xf numFmtId="0" fontId="6" fillId="192" borderId="0" applyAlignment="1" pivotButton="0" quotePrefix="0" xfId="0">
      <alignment horizontal="center" vertical="bottom"/>
    </xf>
    <xf numFmtId="0" fontId="6" fillId="193" borderId="0" applyAlignment="1" pivotButton="0" quotePrefix="0" xfId="0">
      <alignment horizontal="center" vertical="bottom"/>
    </xf>
    <xf numFmtId="0" fontId="6" fillId="93" borderId="0" applyAlignment="1" pivotButton="0" quotePrefix="0" xfId="0">
      <alignment horizontal="center" vertical="bottom"/>
    </xf>
    <xf numFmtId="0" fontId="6" fillId="185" borderId="0" applyAlignment="1" pivotButton="0" quotePrefix="0" xfId="0">
      <alignment horizontal="center" vertical="bottom"/>
    </xf>
    <xf numFmtId="2" fontId="6" fillId="191" borderId="0" applyAlignment="1" pivotButton="0" quotePrefix="0" xfId="0">
      <alignment horizontal="center" vertical="bottom"/>
    </xf>
    <xf numFmtId="0" fontId="6" fillId="194" borderId="5" applyAlignment="1" pivotButton="0" quotePrefix="0" xfId="0">
      <alignment horizontal="center" vertical="bottom"/>
    </xf>
    <xf numFmtId="0" fontId="6" fillId="109" borderId="4" applyAlignment="1" pivotButton="0" quotePrefix="0" xfId="0">
      <alignment horizontal="center" vertical="bottom"/>
    </xf>
    <xf numFmtId="0" fontId="6" fillId="109" borderId="0" applyAlignment="1" pivotButton="0" quotePrefix="0" xfId="0">
      <alignment horizontal="center" vertical="bottom"/>
    </xf>
    <xf numFmtId="0" fontId="6" fillId="43" borderId="0" applyAlignment="1" pivotButton="0" quotePrefix="0" xfId="0">
      <alignment horizontal="center" vertical="bottom"/>
    </xf>
    <xf numFmtId="0" fontId="6" fillId="195" borderId="0" applyAlignment="1" pivotButton="0" quotePrefix="0" xfId="0">
      <alignment horizontal="center" vertical="bottom"/>
    </xf>
    <xf numFmtId="0" fontId="6" fillId="196" borderId="0" applyAlignment="1" pivotButton="0" quotePrefix="0" xfId="0">
      <alignment horizontal="center" vertical="bottom"/>
    </xf>
    <xf numFmtId="0" fontId="6" fillId="109" borderId="0" applyAlignment="1" pivotButton="0" quotePrefix="0" xfId="0">
      <alignment horizontal="center" vertical="bottom"/>
    </xf>
    <xf numFmtId="0" fontId="6" fillId="197" borderId="0" applyAlignment="1" pivotButton="0" quotePrefix="0" xfId="0">
      <alignment horizontal="center" vertical="bottom"/>
    </xf>
    <xf numFmtId="0" fontId="6" fillId="198" borderId="4" applyAlignment="1" pivotButton="0" quotePrefix="0" xfId="0">
      <alignment horizontal="center" vertical="bottom"/>
    </xf>
    <xf numFmtId="0" fontId="6" fillId="118" borderId="0" applyAlignment="1" pivotButton="0" quotePrefix="0" xfId="0">
      <alignment horizontal="center" vertical="bottom"/>
    </xf>
    <xf numFmtId="2" fontId="6" fillId="199" borderId="0" applyAlignment="1" pivotButton="0" quotePrefix="0" xfId="0">
      <alignment horizontal="center" vertical="bottom"/>
    </xf>
    <xf numFmtId="0" fontId="6" fillId="43" borderId="5" applyAlignment="1" pivotButton="0" quotePrefix="0" xfId="0">
      <alignment horizontal="center" vertical="bottom"/>
    </xf>
    <xf numFmtId="0" fontId="6" fillId="200" borderId="4" applyAlignment="1" pivotButton="0" quotePrefix="0" xfId="0">
      <alignment horizontal="center" vertical="bottom"/>
    </xf>
    <xf numFmtId="0" fontId="6" fillId="201" borderId="0" applyAlignment="1" pivotButton="0" quotePrefix="0" xfId="0">
      <alignment horizontal="center" vertical="bottom"/>
    </xf>
    <xf numFmtId="0" fontId="6" fillId="202" borderId="0" applyAlignment="1" pivotButton="0" quotePrefix="0" xfId="0">
      <alignment horizontal="center" vertical="bottom"/>
    </xf>
    <xf numFmtId="0" fontId="6" fillId="36" borderId="0" applyAlignment="1" pivotButton="0" quotePrefix="0" xfId="0">
      <alignment horizontal="center" vertical="bottom"/>
    </xf>
    <xf numFmtId="0" fontId="6" fillId="203" borderId="0" applyAlignment="1" pivotButton="0" quotePrefix="0" xfId="0">
      <alignment horizontal="center" vertical="bottom"/>
    </xf>
    <xf numFmtId="0" fontId="6" fillId="204" borderId="4" applyAlignment="1" pivotButton="0" quotePrefix="0" xfId="0">
      <alignment horizontal="center" vertical="bottom"/>
    </xf>
    <xf numFmtId="2" fontId="6" fillId="205" borderId="0" applyAlignment="1" pivotButton="0" quotePrefix="0" xfId="0">
      <alignment horizontal="center" vertical="bottom"/>
    </xf>
    <xf numFmtId="0" fontId="6" fillId="206" borderId="5" applyAlignment="1" pivotButton="0" quotePrefix="0" xfId="0">
      <alignment horizontal="center" vertical="bottom"/>
    </xf>
    <xf numFmtId="0" fontId="6" fillId="207" borderId="0" applyAlignment="1" pivotButton="0" quotePrefix="0" xfId="0">
      <alignment horizontal="center" vertical="bottom"/>
    </xf>
    <xf numFmtId="0" fontId="6" fillId="208" borderId="0" applyAlignment="1" pivotButton="0" quotePrefix="0" xfId="0">
      <alignment horizontal="center" vertical="bottom"/>
    </xf>
    <xf numFmtId="0" fontId="6" fillId="209" borderId="0" applyAlignment="1" pivotButton="0" quotePrefix="0" xfId="0">
      <alignment horizontal="center" vertical="bottom"/>
    </xf>
    <xf numFmtId="0" fontId="6" fillId="41" borderId="0" applyAlignment="1" pivotButton="0" quotePrefix="0" xfId="0">
      <alignment horizontal="center" vertical="bottom"/>
    </xf>
    <xf numFmtId="0" fontId="6" fillId="210" borderId="4" applyAlignment="1" pivotButton="0" quotePrefix="0" xfId="0">
      <alignment horizontal="center" vertical="bottom"/>
    </xf>
    <xf numFmtId="0" fontId="6" fillId="19" borderId="0" applyAlignment="1" pivotButton="0" quotePrefix="0" xfId="0">
      <alignment horizontal="center" vertical="bottom"/>
    </xf>
    <xf numFmtId="2" fontId="6" fillId="211" borderId="0" applyAlignment="1" pivotButton="0" quotePrefix="0" xfId="0">
      <alignment horizontal="center" vertical="bottom"/>
    </xf>
    <xf numFmtId="0" fontId="6" fillId="212" borderId="5" applyAlignment="1" pivotButton="0" quotePrefix="0" xfId="0">
      <alignment horizontal="center" vertical="bottom"/>
    </xf>
    <xf numFmtId="0" fontId="6" fillId="42" borderId="4" applyAlignment="1" pivotButton="0" quotePrefix="0" xfId="0">
      <alignment horizontal="center" vertical="bottom"/>
    </xf>
    <xf numFmtId="0" fontId="6" fillId="18" borderId="0" applyAlignment="1" pivotButton="0" quotePrefix="0" xfId="0">
      <alignment horizontal="center" vertical="bottom"/>
    </xf>
    <xf numFmtId="3" fontId="6" fillId="213" borderId="0" applyAlignment="1" pivotButton="0" quotePrefix="0" xfId="0">
      <alignment horizontal="center" vertical="bottom"/>
    </xf>
    <xf numFmtId="0" fontId="6" fillId="214" borderId="0" applyAlignment="1" pivotButton="0" quotePrefix="0" xfId="0">
      <alignment horizontal="center" vertical="bottom"/>
    </xf>
    <xf numFmtId="0" fontId="6" fillId="215" borderId="0" applyAlignment="1" pivotButton="0" quotePrefix="0" xfId="0">
      <alignment horizontal="center" vertical="bottom"/>
    </xf>
    <xf numFmtId="2" fontId="6" fillId="216" borderId="0" applyAlignment="1" pivotButton="0" quotePrefix="0" xfId="0">
      <alignment horizontal="center" vertical="bottom"/>
    </xf>
    <xf numFmtId="0" fontId="6" fillId="16" borderId="5" applyAlignment="1" pivotButton="0" quotePrefix="0" xfId="0">
      <alignment horizontal="center" vertical="bottom"/>
    </xf>
    <xf numFmtId="0" fontId="6" fillId="5" borderId="4" applyAlignment="1" pivotButton="0" quotePrefix="0" xfId="0">
      <alignment horizontal="center" vertical="bottom"/>
    </xf>
    <xf numFmtId="0" fontId="6" fillId="217" borderId="0" applyAlignment="1" pivotButton="0" quotePrefix="0" xfId="0">
      <alignment horizontal="center" vertical="bottom"/>
    </xf>
    <xf numFmtId="3" fontId="6" fillId="218" borderId="0" applyAlignment="1" pivotButton="0" quotePrefix="0" xfId="0">
      <alignment horizontal="center" vertical="bottom"/>
    </xf>
    <xf numFmtId="0" fontId="6" fillId="179" borderId="0" applyAlignment="1" pivotButton="0" quotePrefix="0" xfId="0">
      <alignment horizontal="center" vertical="bottom"/>
    </xf>
    <xf numFmtId="0" fontId="6" fillId="136" borderId="0" applyAlignment="1" pivotButton="0" quotePrefix="0" xfId="0">
      <alignment horizontal="center" vertical="bottom"/>
    </xf>
    <xf numFmtId="0" fontId="6" fillId="219" borderId="4" applyAlignment="1" pivotButton="0" quotePrefix="0" xfId="0">
      <alignment horizontal="center" vertical="bottom"/>
    </xf>
    <xf numFmtId="0" fontId="6" fillId="106" borderId="0" applyAlignment="1" pivotButton="0" quotePrefix="0" xfId="0">
      <alignment horizontal="center" vertical="bottom"/>
    </xf>
    <xf numFmtId="2" fontId="6" fillId="220" borderId="0" applyAlignment="1" pivotButton="0" quotePrefix="0" xfId="0">
      <alignment horizontal="center" vertical="bottom"/>
    </xf>
    <xf numFmtId="0" fontId="6" fillId="221" borderId="5" applyAlignment="1" pivotButton="0" quotePrefix="0" xfId="0">
      <alignment horizontal="center" vertical="bottom"/>
    </xf>
    <xf numFmtId="0" fontId="6" fillId="222" borderId="4" applyAlignment="1" pivotButton="0" quotePrefix="0" xfId="0">
      <alignment horizontal="center" vertical="bottom"/>
    </xf>
    <xf numFmtId="0" fontId="6" fillId="223" borderId="0" applyAlignment="1" pivotButton="0" quotePrefix="0" xfId="0">
      <alignment horizontal="center" vertical="bottom"/>
    </xf>
    <xf numFmtId="0" fontId="6" fillId="224" borderId="0" applyAlignment="1" pivotButton="0" quotePrefix="0" xfId="0">
      <alignment horizontal="center" vertical="bottom"/>
    </xf>
    <xf numFmtId="0" fontId="6" fillId="143" borderId="0" applyAlignment="1" pivotButton="0" quotePrefix="0" xfId="0">
      <alignment horizontal="center" vertical="bottom"/>
    </xf>
    <xf numFmtId="0" fontId="6" fillId="208" borderId="0" applyAlignment="1" pivotButton="0" quotePrefix="0" xfId="0">
      <alignment horizontal="center" vertical="bottom"/>
    </xf>
    <xf numFmtId="0" fontId="6" fillId="225" borderId="0" applyAlignment="1" pivotButton="0" quotePrefix="0" xfId="0">
      <alignment horizontal="center" vertical="bottom"/>
    </xf>
    <xf numFmtId="0" fontId="6" fillId="84" borderId="4" applyAlignment="1" pivotButton="0" quotePrefix="0" xfId="0">
      <alignment horizontal="center" vertical="bottom"/>
    </xf>
    <xf numFmtId="0" fontId="6" fillId="226" borderId="0" applyAlignment="1" pivotButton="0" quotePrefix="0" xfId="0">
      <alignment horizontal="center" vertical="bottom"/>
    </xf>
    <xf numFmtId="0" fontId="6" fillId="227" borderId="0" applyAlignment="1" pivotButton="0" quotePrefix="0" xfId="0">
      <alignment vertical="bottom"/>
    </xf>
    <xf numFmtId="0" fontId="6" fillId="227" borderId="0" applyAlignment="1" pivotButton="0" quotePrefix="0" xfId="0">
      <alignment vertical="bottom"/>
    </xf>
    <xf numFmtId="1" fontId="6" fillId="227" borderId="4" applyAlignment="1" pivotButton="0" quotePrefix="0" xfId="0">
      <alignment horizontal="center" vertical="bottom"/>
    </xf>
    <xf numFmtId="1" fontId="6" fillId="227" borderId="0" applyAlignment="1" pivotButton="0" quotePrefix="0" xfId="0">
      <alignment horizontal="center" vertical="bottom"/>
    </xf>
    <xf numFmtId="1" fontId="6" fillId="227" borderId="5" applyAlignment="1" pivotButton="0" quotePrefix="0" xfId="0">
      <alignment horizontal="center" vertical="bottom"/>
    </xf>
    <xf numFmtId="1" fontId="6" fillId="227" borderId="0" applyAlignment="1" pivotButton="0" quotePrefix="0" xfId="0">
      <alignment vertical="bottom"/>
    </xf>
    <xf numFmtId="0" fontId="6" fillId="227" borderId="0" applyAlignment="1" pivotButton="0" quotePrefix="0" xfId="0">
      <alignment vertical="bottom"/>
    </xf>
    <xf numFmtId="2" fontId="6" fillId="227" borderId="0" applyAlignment="1" pivotButton="0" quotePrefix="0" xfId="0">
      <alignment horizontal="center" vertical="bottom"/>
    </xf>
    <xf numFmtId="0" fontId="10" fillId="0" borderId="0" applyAlignment="1" pivotButton="0" quotePrefix="0" xfId="0">
      <alignment vertical="bottom"/>
    </xf>
    <xf numFmtId="0" fontId="6" fillId="19" borderId="6" applyAlignment="1" pivotButton="0" quotePrefix="0" xfId="0">
      <alignment horizontal="center" vertical="bottom"/>
    </xf>
    <xf numFmtId="0" fontId="6" fillId="19" borderId="11" applyAlignment="1" pivotButton="0" quotePrefix="0" xfId="0">
      <alignment horizontal="center" vertical="bottom"/>
    </xf>
    <xf numFmtId="3" fontId="6" fillId="5" borderId="11" applyAlignment="1" pivotButton="0" quotePrefix="0" xfId="0">
      <alignment horizontal="center" vertical="bottom"/>
    </xf>
    <xf numFmtId="0" fontId="2" fillId="0" borderId="7" applyAlignment="1" pivotButton="0" quotePrefix="0" xfId="0">
      <alignment horizontal="center"/>
    </xf>
    <xf numFmtId="0" fontId="6" fillId="19" borderId="0" applyAlignment="1" pivotButton="0" quotePrefix="0" xfId="0">
      <alignment horizontal="center" vertical="bottom"/>
    </xf>
    <xf numFmtId="0" fontId="6" fillId="19" borderId="0" applyAlignment="1" pivotButton="0" quotePrefix="0" xfId="0">
      <alignment horizontal="center" vertical="bottom"/>
    </xf>
    <xf numFmtId="0" fontId="6" fillId="0" borderId="6" applyAlignment="1" pivotButton="0" quotePrefix="0" xfId="0">
      <alignment horizontal="center" vertical="bottom"/>
    </xf>
    <xf numFmtId="0" fontId="6" fillId="0" borderId="11" applyAlignment="1" pivotButton="0" quotePrefix="0" xfId="0">
      <alignment horizontal="center" vertical="bottom"/>
    </xf>
    <xf numFmtId="2" fontId="6" fillId="24" borderId="11" applyAlignment="1" pivotButton="0" quotePrefix="0" xfId="0">
      <alignment horizontal="center" vertical="bottom"/>
    </xf>
    <xf numFmtId="0" fontId="6" fillId="0" borderId="7" applyAlignment="1" pivotButton="0" quotePrefix="0" xfId="0">
      <alignment horizontal="center" vertical="bottom"/>
    </xf>
    <xf numFmtId="0" fontId="11" fillId="0" borderId="0" applyAlignment="1" pivotButton="0" quotePrefix="0" xfId="0">
      <alignment vertical="bottom"/>
    </xf>
    <xf numFmtId="0" fontId="0" fillId="0" borderId="0" pivotButton="0" quotePrefix="0" xfId="0"/>
    <xf numFmtId="0" fontId="1" fillId="0" borderId="0" applyAlignment="1" pivotButton="0" quotePrefix="0" xfId="0">
      <alignment vertical="top" wrapText="1"/>
    </xf>
    <xf numFmtId="0" fontId="2" fillId="4" borderId="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1" fillId="0" borderId="1" pivotButton="0" quotePrefix="0" xfId="0"/>
    <xf numFmtId="0" fontId="0" fillId="0" borderId="10" pivotButton="0" quotePrefix="0" xfId="0"/>
  </cellXfs>
  <cellStyles count="1">
    <cellStyle name="Normal" xfId="0" builtinId="0"/>
  </cellStyles>
  <dxfs count="7">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color rgb="FFFFFFFF"/>
      </font>
      <fill>
        <patternFill patternType="solid">
          <fgColor rgb="FF38761D"/>
          <bgColor rgb="FF38761D"/>
        </patternFill>
      </fill>
      <border/>
    </dxf>
    <dxf>
      <font>
        <color rgb="FFFFFFFF"/>
      </font>
      <fill>
        <patternFill patternType="solid">
          <fgColor rgb="FF990000"/>
          <bgColor rgb="FF990000"/>
        </patternFill>
      </fill>
      <border/>
    </dxf>
    <dxf>
      <font/>
      <fill>
        <patternFill patternType="solid">
          <fgColor rgb="FFE69138"/>
          <bgColor rgb="FFE69138"/>
        </patternFill>
      </fill>
      <border/>
    </dxf>
    <dxf>
      <font>
        <color rgb="FF0B8043"/>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pr.cy" TargetMode="External" Id="rId1" /></Relationships>
</file>

<file path=xl/worksheets/_rels/sheet5.xml.rels><Relationships xmlns="http://schemas.openxmlformats.org/package/2006/relationships"><Relationship Type="http://schemas.openxmlformats.org/officeDocument/2006/relationships/hyperlink" Target="https://youtu.be/KUvTzfddoL0" TargetMode="External" Id="rId1" /><Relationship Type="http://schemas.openxmlformats.org/officeDocument/2006/relationships/hyperlink" Target="https://youtu.be/dpf_YvhjWgI" TargetMode="External" Id="rId2" /><Relationship Type="http://schemas.openxmlformats.org/officeDocument/2006/relationships/hyperlink" Target="https://vk.com/smirnov.marketing" TargetMode="External" Id="rId3" /><Relationship Type="http://schemas.openxmlformats.org/officeDocument/2006/relationships/hyperlink" Target="https://www.instagram.com/smirnov.marketing/" TargetMode="External" Id="rId4" /></Relationships>
</file>

<file path=xl/worksheets/sheet1.xml><?xml version="1.0" encoding="utf-8"?>
<worksheet xmlns="http://schemas.openxmlformats.org/spreadsheetml/2006/main">
  <sheetPr>
    <outlinePr summaryBelow="0" summaryRight="0"/>
    <pageSetUpPr/>
  </sheetPr>
  <dimension ref="A1:X2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13" customWidth="1" style="354" min="1" max="1"/>
    <col width="27.25" customWidth="1" style="354" min="2" max="2"/>
    <col hidden="1" width="24.63" customWidth="1" style="354" min="3" max="4"/>
    <col width="11.63" customWidth="1" style="354" min="5" max="5"/>
    <col width="11" customWidth="1" style="354" min="6" max="6"/>
    <col width="14.75" customWidth="1" style="354" min="7" max="7"/>
    <col width="6.75" customWidth="1" style="354" min="8" max="8"/>
    <col width="11.5" customWidth="1" style="354" min="9" max="9"/>
    <col width="14.88" customWidth="1" style="354" min="10" max="10"/>
    <col width="14.13" customWidth="1" style="354" min="11" max="11"/>
    <col width="14.25" customWidth="1" style="354" min="12" max="12"/>
    <col width="16.88" customWidth="1" style="354" min="13" max="13"/>
    <col width="12.75" customWidth="1" style="354" min="14" max="14"/>
    <col width="13.75" customWidth="1" style="354" min="15" max="15"/>
    <col width="17" customWidth="1" style="354" min="16" max="16"/>
    <col width="13.63" customWidth="1" style="354" min="17" max="18"/>
    <col width="14.5" customWidth="1" style="354" min="19" max="19"/>
    <col width="17.25" customWidth="1" style="354" min="20" max="20"/>
    <col width="11" customWidth="1" style="354" min="21" max="21"/>
    <col width="23.13" customWidth="1" style="354" min="22" max="24"/>
  </cols>
  <sheetData>
    <row r="1">
      <c r="A1" s="1" t="inlineStr">
        <is>
          <t> </t>
        </is>
      </c>
      <c r="B1" s="1" t="inlineStr">
        <is>
          <t>Конкурент</t>
        </is>
      </c>
      <c r="C1" s="1" t="inlineStr">
        <is>
          <t>Для иконки</t>
        </is>
      </c>
      <c r="D1" s="12" t="inlineStr">
        <is>
          <t>Для pr.cy</t>
        </is>
      </c>
      <c r="E1" s="13" t="inlineStr">
        <is>
          <t>Индекс Ya</t>
        </is>
      </c>
      <c r="F1" s="15" t="inlineStr">
        <is>
          <t>Индекс G</t>
        </is>
      </c>
      <c r="G1" s="15" t="inlineStr">
        <is>
          <t>Возраст</t>
        </is>
      </c>
      <c r="H1" s="15" t="inlineStr">
        <is>
          <t>ИКС</t>
        </is>
      </c>
      <c r="I1" s="19" t="inlineStr">
        <is>
          <t>Отзывы.Я</t>
        </is>
      </c>
      <c r="J1" s="1" t="inlineStr">
        <is>
          <t>Видимость Ya</t>
        </is>
      </c>
      <c r="K1" s="1" t="inlineStr">
        <is>
          <t>Динамика</t>
        </is>
      </c>
      <c r="L1" s="1" t="inlineStr">
        <is>
          <t>Видимость G</t>
        </is>
      </c>
      <c r="M1" s="1" t="inlineStr">
        <is>
          <t>Динамика</t>
        </is>
      </c>
      <c r="N1" s="21" t="inlineStr">
        <is>
          <t>ТОП-5 в Яндекс</t>
        </is>
      </c>
      <c r="O1" s="21" t="inlineStr">
        <is>
          <t>ТОП-50 в Яндекс</t>
        </is>
      </c>
      <c r="P1" s="23" t="inlineStr">
        <is>
          <t>ТОП-5 в ПС Google</t>
        </is>
      </c>
      <c r="Q1" s="23" t="inlineStr">
        <is>
          <t>ТОП-50 в ПС Google</t>
        </is>
      </c>
      <c r="R1" s="21" t="inlineStr">
        <is>
          <t>Эффективность в Яндекс</t>
        </is>
      </c>
      <c r="S1" s="21" t="inlineStr">
        <is>
          <t>Эффективность в Google</t>
        </is>
      </c>
      <c r="T1" s="13" t="inlineStr">
        <is>
          <t>Доноры</t>
        </is>
      </c>
      <c r="U1" s="15" t="inlineStr">
        <is>
          <t>Ссылки</t>
        </is>
      </c>
      <c r="V1" s="15" t="inlineStr">
        <is>
          <t>Ссылок/доноров</t>
        </is>
      </c>
      <c r="W1" s="24" t="inlineStr">
        <is>
          <t>DR</t>
        </is>
      </c>
      <c r="X1" s="1" t="inlineStr">
        <is>
          <t>Статус</t>
        </is>
      </c>
    </row>
    <row r="2">
      <c r="A2" s="26">
        <f>IMAGE(C2)</f>
        <v/>
      </c>
      <c r="B2" s="28" t="inlineStr">
        <is>
          <t>https://dealmed.ru/</t>
        </is>
      </c>
      <c r="C2" s="31">
        <f>"https://www.google.com/s2/favicons?domain="&amp;B2</f>
        <v/>
      </c>
      <c r="D2" s="31">
        <f>"https://a.pr-cy.ru/"&amp;IF(ISERROR(FIND("//www.",B2)),MID(B2,FIND(":",B2,4)+3,FIND("/",B2,9)-FIND(":",B2,4)-3),MID(B2,FIND(":",B2,4)+7,FIND("/",B2,9)-FIND(":",B2,4)-7))&amp;"/"</f>
        <v/>
      </c>
      <c r="E2" s="33" t="n"/>
      <c r="F2" s="34" t="n"/>
      <c r="G2" s="35" t="n"/>
      <c r="H2" s="36" t="n"/>
      <c r="I2" s="37" t="n"/>
      <c r="J2" s="38" t="n"/>
      <c r="K2" s="131" t="n"/>
      <c r="L2" s="40" t="n"/>
      <c r="M2" s="41" t="n"/>
      <c r="N2" s="42" t="n">
        <v>34000</v>
      </c>
      <c r="O2" s="255" t="n">
        <v>139372</v>
      </c>
      <c r="P2" s="44" t="n"/>
      <c r="Q2" s="311" t="n"/>
      <c r="R2" s="46">
        <f>IFERROR(N2/O2,"")</f>
        <v/>
      </c>
      <c r="S2" s="46">
        <f>IFERROR(P2/Q2,"")</f>
        <v/>
      </c>
      <c r="T2" s="47" t="n"/>
      <c r="U2" s="48" t="n"/>
      <c r="V2" s="49">
        <f>IFERROR(U2/T2,"")</f>
        <v/>
      </c>
      <c r="W2" s="50" t="n"/>
      <c r="X2" s="64" t="inlineStr">
        <is>
          <t xml:space="preserve"> Лидер</t>
        </is>
      </c>
    </row>
    <row r="3">
      <c r="A3" s="26">
        <f>IMAGE(C3)</f>
        <v/>
      </c>
      <c r="B3" s="28" t="inlineStr">
        <is>
          <t>https://medcomp.ru/</t>
        </is>
      </c>
      <c r="C3" s="31">
        <f>"https://www.google.com/s2/favicons?domain="&amp;B3</f>
        <v/>
      </c>
      <c r="D3" s="31">
        <f>"https://a.pr-cy.ru/"&amp;IF(ISERROR(FIND("//www.",B3)),MID(B3,FIND(":",B3,4)+3,FIND("/",B3,9)-FIND(":",B3,4)-3),MID(B3,FIND(":",B3,4)+7,FIND("/",B3,9)-FIND(":",B3,4)-7))&amp;"/"</f>
        <v/>
      </c>
      <c r="E3" s="33" t="n"/>
      <c r="F3" s="34" t="n"/>
      <c r="G3" s="35" t="n"/>
      <c r="H3" s="36" t="n"/>
      <c r="I3" s="37" t="n"/>
      <c r="J3" s="38" t="n"/>
      <c r="K3" s="131" t="n"/>
      <c r="L3" s="40" t="n"/>
      <c r="M3" s="41" t="n"/>
      <c r="N3" s="42" t="n">
        <v>12027</v>
      </c>
      <c r="O3" s="255" t="n">
        <v>42378</v>
      </c>
      <c r="P3" s="44" t="n"/>
      <c r="Q3" s="311" t="n"/>
      <c r="R3" s="46">
        <f>IFERROR(N3/O3,"")</f>
        <v/>
      </c>
      <c r="S3" s="46">
        <f>IFERROR(P3/Q3,"")</f>
        <v/>
      </c>
      <c r="T3" s="47" t="n"/>
      <c r="U3" s="48" t="n"/>
      <c r="V3" s="49">
        <f>IFERROR(U3/T3,"")</f>
        <v/>
      </c>
      <c r="W3" s="50" t="n"/>
      <c r="X3" s="64" t="inlineStr">
        <is>
          <t xml:space="preserve"> Лидер</t>
        </is>
      </c>
    </row>
    <row r="4">
      <c r="A4" s="26">
        <f>IMAGE(C4)</f>
        <v/>
      </c>
      <c r="B4" s="28" t="inlineStr">
        <is>
          <t>https://medliga.ru/</t>
        </is>
      </c>
      <c r="C4" s="31">
        <f>"https://www.google.com/s2/favicons?domain="&amp;B4</f>
        <v/>
      </c>
      <c r="D4" s="31">
        <f>"https://a.pr-cy.ru/"&amp;IF(ISERROR(FIND("//www.",B4)),MID(B4,FIND(":",B4,4)+3,FIND("/",B4,9)-FIND(":",B4,4)-3),MID(B4,FIND(":",B4,4)+7,FIND("/",B4,9)-FIND(":",B4,4)-7))&amp;"/"</f>
        <v/>
      </c>
      <c r="E4" s="33" t="n"/>
      <c r="F4" s="34" t="n"/>
      <c r="G4" s="35" t="n"/>
      <c r="H4" s="36" t="n"/>
      <c r="I4" s="37" t="n"/>
      <c r="J4" s="38" t="n"/>
      <c r="K4" s="131" t="n"/>
      <c r="L4" s="40" t="n"/>
      <c r="M4" s="41" t="n"/>
      <c r="N4" s="42" t="n">
        <v>8912</v>
      </c>
      <c r="O4" s="255" t="n">
        <v>17944</v>
      </c>
      <c r="P4" s="44" t="n"/>
      <c r="Q4" s="311" t="n"/>
      <c r="R4" s="46">
        <f>IFERROR(N4/O4,"")</f>
        <v/>
      </c>
      <c r="S4" s="46">
        <f>IFERROR(P4/Q4,"")</f>
        <v/>
      </c>
      <c r="T4" s="47" t="n"/>
      <c r="U4" s="48" t="n"/>
      <c r="V4" s="49">
        <f>IFERROR(U4/T4,"")</f>
        <v/>
      </c>
      <c r="W4" s="50" t="n"/>
      <c r="X4" s="64" t="inlineStr">
        <is>
          <t xml:space="preserve"> Лидер</t>
        </is>
      </c>
    </row>
    <row r="5">
      <c r="A5" s="26">
        <f>IMAGE(C5)</f>
        <v/>
      </c>
      <c r="B5" s="28" t="inlineStr">
        <is>
          <t>https://almamed.su/</t>
        </is>
      </c>
      <c r="C5" s="31">
        <f>"https://www.google.com/s2/favicons?domain="&amp;B5</f>
        <v/>
      </c>
      <c r="D5" s="31">
        <f>"https://a.pr-cy.ru/"&amp;IF(ISERROR(FIND("//www.",B5)),MID(B5,FIND(":",B5,4)+3,FIND("/",B5,9)-FIND(":",B5,4)-3),MID(B5,FIND(":",B5,4)+7,FIND("/",B5,9)-FIND(":",B5,4)-7))&amp;"/"</f>
        <v/>
      </c>
      <c r="E5" s="33" t="n"/>
      <c r="F5" s="34" t="n"/>
      <c r="G5" s="35" t="n"/>
      <c r="H5" s="36" t="n"/>
      <c r="I5" s="37" t="n"/>
      <c r="J5" s="38" t="n"/>
      <c r="K5" s="131" t="n"/>
      <c r="L5" s="40" t="n"/>
      <c r="M5" s="41" t="n"/>
      <c r="N5" s="42" t="n">
        <v>6795</v>
      </c>
      <c r="O5" s="255" t="n">
        <v>80522</v>
      </c>
      <c r="P5" s="44" t="n"/>
      <c r="Q5" s="311" t="n"/>
      <c r="R5" s="46">
        <f>IFERROR(N5/O5,"")</f>
        <v/>
      </c>
      <c r="S5" s="46">
        <f>IFERROR(P5/Q5,"")</f>
        <v/>
      </c>
      <c r="T5" s="47" t="n"/>
      <c r="U5" s="48" t="n"/>
      <c r="V5" s="49">
        <f>IFERROR(U5/T5,"")</f>
        <v/>
      </c>
      <c r="W5" s="50" t="n"/>
      <c r="X5" s="64" t="inlineStr">
        <is>
          <t xml:space="preserve"> Лидер</t>
        </is>
      </c>
    </row>
    <row r="6">
      <c r="A6" s="26">
        <f>IMAGE(C6)</f>
        <v/>
      </c>
      <c r="B6" s="28" t="inlineStr">
        <is>
          <t>https://medcub.ru/</t>
        </is>
      </c>
      <c r="C6" s="31">
        <f>"https://www.google.com/s2/favicons?domain="&amp;B6</f>
        <v/>
      </c>
      <c r="D6" s="31">
        <f>"https://a.pr-cy.ru/"&amp;IF(ISERROR(FIND("//www.",B6)),MID(B6,FIND(":",B6,4)+3,FIND("/",B6,9)-FIND(":",B6,4)-3),MID(B6,FIND(":",B6,4)+7,FIND("/",B6,9)-FIND(":",B6,4)-7))&amp;"/"</f>
        <v/>
      </c>
      <c r="E6" s="33" t="n"/>
      <c r="F6" s="34" t="n"/>
      <c r="G6" s="35" t="n"/>
      <c r="H6" s="36" t="n"/>
      <c r="I6" s="37" t="n"/>
      <c r="J6" s="38" t="n"/>
      <c r="K6" s="131" t="n"/>
      <c r="L6" s="40" t="n"/>
      <c r="M6" s="41" t="n"/>
      <c r="N6" s="42" t="n">
        <v>6373</v>
      </c>
      <c r="O6" s="255" t="n">
        <v>24331</v>
      </c>
      <c r="P6" s="44" t="n"/>
      <c r="Q6" s="311" t="n"/>
      <c r="R6" s="46">
        <f>IFERROR(N6/O6,"")</f>
        <v/>
      </c>
      <c r="S6" s="46">
        <f>IFERROR(P6/Q6,"")</f>
        <v/>
      </c>
      <c r="T6" s="47" t="n"/>
      <c r="U6" s="48" t="n"/>
      <c r="V6" s="49">
        <f>IFERROR(U6/T6,"")</f>
        <v/>
      </c>
      <c r="W6" s="50" t="n"/>
      <c r="X6" s="64" t="inlineStr">
        <is>
          <t xml:space="preserve"> Лидер</t>
        </is>
      </c>
    </row>
    <row r="7">
      <c r="A7" s="26">
        <f>IMAGE(C7)</f>
        <v/>
      </c>
      <c r="B7" s="28" t="inlineStr">
        <is>
          <t>https://global-mt.ru/</t>
        </is>
      </c>
      <c r="C7" s="31">
        <f>"https://www.google.com/s2/favicons?domain="&amp;B7</f>
        <v/>
      </c>
      <c r="D7" s="31">
        <f>"https://a.pr-cy.ru/"&amp;IF(ISERROR(FIND("//www.",B7)),MID(B7,FIND(":",B7,4)+3,FIND("/",B7,9)-FIND(":",B7,4)-3),MID(B7,FIND(":",B7,4)+7,FIND("/",B7,9)-FIND(":",B7,4)-7))&amp;"/"</f>
        <v/>
      </c>
      <c r="E7" s="33" t="n"/>
      <c r="F7" s="34" t="n"/>
      <c r="G7" s="35" t="n"/>
      <c r="H7" s="36" t="n"/>
      <c r="I7" s="37" t="n"/>
      <c r="J7" s="38" t="n"/>
      <c r="K7" s="131" t="n"/>
      <c r="L7" s="40" t="n"/>
      <c r="M7" s="41" t="n"/>
      <c r="N7" s="42" t="n">
        <v>6043</v>
      </c>
      <c r="O7" s="255" t="n">
        <v>19713</v>
      </c>
      <c r="P7" s="44" t="n"/>
      <c r="Q7" s="311" t="n"/>
      <c r="R7" s="46">
        <f>IFERROR(N7/O7,"")</f>
        <v/>
      </c>
      <c r="S7" s="46">
        <f>IFERROR(P7/Q7,"")</f>
        <v/>
      </c>
      <c r="T7" s="47" t="n"/>
      <c r="U7" s="48" t="n"/>
      <c r="V7" s="49">
        <f>IFERROR(U7/T7,"")</f>
        <v/>
      </c>
      <c r="W7" s="50" t="n"/>
      <c r="X7" s="64" t="inlineStr">
        <is>
          <t xml:space="preserve"> Лидер</t>
        </is>
      </c>
    </row>
    <row r="8">
      <c r="A8" s="26">
        <f>IMAGE(C8)</f>
        <v/>
      </c>
      <c r="B8" s="28" t="inlineStr">
        <is>
          <t>https://gmk-kiel.ru/</t>
        </is>
      </c>
      <c r="C8" s="31">
        <f>"https://www.google.com/s2/favicons?domain="&amp;B8</f>
        <v/>
      </c>
      <c r="D8" s="31">
        <f>"https://a.pr-cy.ru/"&amp;IF(ISERROR(FIND("//www.",B8)),MID(B8,FIND(":",B8,4)+3,FIND("/",B8,9)-FIND(":",B8,4)-3),MID(B8,FIND(":",B8,4)+7,FIND("/",B8,9)-FIND(":",B8,4)-7))&amp;"/"</f>
        <v/>
      </c>
      <c r="E8" s="33" t="n"/>
      <c r="F8" s="34" t="n"/>
      <c r="G8" s="35" t="n"/>
      <c r="H8" s="36" t="n"/>
      <c r="I8" s="37" t="n"/>
      <c r="J8" s="38" t="n"/>
      <c r="K8" s="131" t="n"/>
      <c r="L8" s="40" t="n"/>
      <c r="M8" s="41" t="n"/>
      <c r="N8" s="42" t="n">
        <v>4514</v>
      </c>
      <c r="O8" s="255" t="n">
        <v>17901</v>
      </c>
      <c r="P8" s="44" t="n"/>
      <c r="Q8" s="311" t="n"/>
      <c r="R8" s="46">
        <f>IFERROR(N8/O8,"")</f>
        <v/>
      </c>
      <c r="S8" s="46">
        <f>IFERROR(P8/Q8,"")</f>
        <v/>
      </c>
      <c r="T8" s="47" t="n"/>
      <c r="U8" s="48" t="n"/>
      <c r="V8" s="49">
        <f>IFERROR(U8/T8,"")</f>
        <v/>
      </c>
      <c r="W8" s="50" t="n"/>
      <c r="X8" s="64" t="inlineStr">
        <is>
          <t xml:space="preserve"> Лидер</t>
        </is>
      </c>
    </row>
    <row r="9">
      <c r="A9" s="26">
        <f>IMAGE(C9)</f>
        <v/>
      </c>
      <c r="B9" s="28" t="inlineStr">
        <is>
          <t>https://cordismed.ru/</t>
        </is>
      </c>
      <c r="C9" s="31">
        <f>"https://www.google.com/s2/favicons?domain="&amp;B9</f>
        <v/>
      </c>
      <c r="D9" s="31">
        <f>"https://a.pr-cy.ru/"&amp;IF(ISERROR(FIND("//www.",B9)),MID(B9,FIND(":",B9,4)+3,FIND("/",B9,9)-FIND(":",B9,4)-3),MID(B9,FIND(":",B9,4)+7,FIND("/",B9,9)-FIND(":",B9,4)-7))&amp;"/"</f>
        <v/>
      </c>
      <c r="E9" s="33" t="n"/>
      <c r="F9" s="34" t="n"/>
      <c r="G9" s="35" t="n"/>
      <c r="H9" s="36" t="n"/>
      <c r="I9" s="37" t="n"/>
      <c r="J9" s="38" t="n"/>
      <c r="K9" s="131" t="n"/>
      <c r="L9" s="40" t="n"/>
      <c r="M9" s="41" t="n"/>
      <c r="N9" s="42" t="n">
        <v>2687</v>
      </c>
      <c r="O9" s="255" t="n">
        <v>18562</v>
      </c>
      <c r="P9" s="44" t="n"/>
      <c r="Q9" s="311" t="n"/>
      <c r="R9" s="46">
        <f>IFERROR(N9/O9,"")</f>
        <v/>
      </c>
      <c r="S9" s="46">
        <f>IFERROR(P9/Q9,"")</f>
        <v/>
      </c>
      <c r="T9" s="47" t="n"/>
      <c r="U9" s="48" t="n"/>
      <c r="V9" s="49">
        <f>IFERROR(U9/T9,"")</f>
        <v/>
      </c>
      <c r="W9" s="50" t="n"/>
      <c r="X9" s="262" t="inlineStr">
        <is>
          <t>Слабый конкурент</t>
        </is>
      </c>
    </row>
    <row r="10">
      <c r="A10" s="26">
        <f>IMAGE(C10)</f>
        <v/>
      </c>
      <c r="B10" s="28" t="inlineStr">
        <is>
          <t>https://medrk.ru/</t>
        </is>
      </c>
      <c r="C10" s="31">
        <f>"https://www.google.com/s2/favicons?domain="&amp;B10</f>
        <v/>
      </c>
      <c r="D10" s="31">
        <f>"https://a.pr-cy.ru/"&amp;IF(ISERROR(FIND("//www.",B10)),MID(B10,FIND(":",B10,4)+3,FIND("/",B10,9)-FIND(":",B10,4)-3),MID(B10,FIND(":",B10,4)+7,FIND("/",B10,9)-FIND(":",B10,4)-7))&amp;"/"</f>
        <v/>
      </c>
      <c r="E10" s="33" t="n"/>
      <c r="F10" s="34" t="n"/>
      <c r="G10" s="35" t="n"/>
      <c r="H10" s="36" t="n"/>
      <c r="I10" s="37" t="n"/>
      <c r="J10" s="38" t="n"/>
      <c r="K10" s="131" t="n"/>
      <c r="L10" s="40" t="n"/>
      <c r="M10" s="41" t="n"/>
      <c r="N10" s="42" t="n">
        <v>2671</v>
      </c>
      <c r="O10" s="255" t="n">
        <v>39793</v>
      </c>
      <c r="P10" s="44" t="n"/>
      <c r="Q10" s="311" t="n"/>
      <c r="R10" s="46">
        <f>IFERROR(N10/O10,"")</f>
        <v/>
      </c>
      <c r="S10" s="46">
        <f>IFERROR(P10/Q10,"")</f>
        <v/>
      </c>
      <c r="T10" s="47" t="n"/>
      <c r="U10" s="48" t="n"/>
      <c r="V10" s="49">
        <f>IFERROR(U10/T10,"")</f>
        <v/>
      </c>
      <c r="W10" s="50" t="n"/>
      <c r="X10" s="262" t="inlineStr">
        <is>
          <t>Слабый конкурент</t>
        </is>
      </c>
    </row>
    <row r="11">
      <c r="A11" s="26">
        <f>IMAGE(C11)</f>
        <v/>
      </c>
      <c r="B11" s="28" t="inlineStr">
        <is>
          <t>https://sterimed.ru/</t>
        </is>
      </c>
      <c r="C11" s="31">
        <f>"https://www.google.com/s2/favicons?domain="&amp;B11</f>
        <v/>
      </c>
      <c r="D11" s="31">
        <f>"https://a.pr-cy.ru/"&amp;IF(ISERROR(FIND("//www.",B11)),MID(B11,FIND(":",B11,4)+3,FIND("/",B11,9)-FIND(":",B11,4)-3),MID(B11,FIND(":",B11,4)+7,FIND("/",B11,9)-FIND(":",B11,4)-7))&amp;"/"</f>
        <v/>
      </c>
      <c r="E11" s="33" t="n"/>
      <c r="F11" s="34" t="n"/>
      <c r="G11" s="35" t="n"/>
      <c r="H11" s="36" t="n"/>
      <c r="I11" s="37" t="n"/>
      <c r="J11" s="38" t="n"/>
      <c r="K11" s="131" t="n"/>
      <c r="L11" s="40" t="n"/>
      <c r="M11" s="41" t="n"/>
      <c r="N11" s="42" t="n">
        <v>2595</v>
      </c>
      <c r="O11" s="255" t="n">
        <v>12635</v>
      </c>
      <c r="P11" s="44" t="n"/>
      <c r="Q11" s="311" t="n"/>
      <c r="R11" s="46">
        <f>IFERROR(N11/O11,"")</f>
        <v/>
      </c>
      <c r="S11" s="46">
        <f>IFERROR(P11/Q11,"")</f>
        <v/>
      </c>
      <c r="T11" s="47" t="n"/>
      <c r="U11" s="48" t="n"/>
      <c r="V11" s="49">
        <f>IFERROR(U11/T11,"")</f>
        <v/>
      </c>
      <c r="W11" s="50" t="n"/>
      <c r="X11" s="262" t="inlineStr">
        <is>
          <t>Слабый конкурент</t>
        </is>
      </c>
    </row>
    <row r="12">
      <c r="A12" s="26">
        <f>IMAGE(C12)</f>
        <v/>
      </c>
      <c r="B12" s="28" t="inlineStr">
        <is>
          <t>https://ivlabmed.ru/</t>
        </is>
      </c>
      <c r="C12" s="31">
        <f>"https://www.google.com/s2/favicons?domain="&amp;B12</f>
        <v/>
      </c>
      <c r="D12" s="31">
        <f>"https://a.pr-cy.ru/"&amp;IF(ISERROR(FIND("//www.",B12)),MID(B12,FIND(":",B12,4)+3,FIND("/",B12,9)-FIND(":",B12,4)-3),MID(B12,FIND(":",B12,4)+7,FIND("/",B12,9)-FIND(":",B12,4)-7))&amp;"/"</f>
        <v/>
      </c>
      <c r="E12" s="33" t="n"/>
      <c r="F12" s="34" t="n"/>
      <c r="G12" s="35" t="n"/>
      <c r="H12" s="36" t="n"/>
      <c r="I12" s="37" t="n"/>
      <c r="J12" s="38" t="n"/>
      <c r="K12" s="131" t="n"/>
      <c r="L12" s="40" t="n"/>
      <c r="M12" s="41" t="n"/>
      <c r="N12" s="42" t="n">
        <v>2067</v>
      </c>
      <c r="O12" s="255" t="n">
        <v>17494</v>
      </c>
      <c r="P12" s="44" t="n"/>
      <c r="Q12" s="311" t="n"/>
      <c r="R12" s="46">
        <f>IFERROR(N12/O12,"")</f>
        <v/>
      </c>
      <c r="S12" s="46">
        <f>IFERROR(P12/Q12,"")</f>
        <v/>
      </c>
      <c r="T12" s="47" t="n"/>
      <c r="U12" s="48" t="n"/>
      <c r="V12" s="49">
        <f>IFERROR(U12/T12,"")</f>
        <v/>
      </c>
      <c r="W12" s="50" t="n"/>
      <c r="X12" s="262" t="inlineStr">
        <is>
          <t>Слабый конкурент</t>
        </is>
      </c>
    </row>
    <row r="13">
      <c r="A13" s="26">
        <f>IMAGE(C13)</f>
        <v/>
      </c>
      <c r="B13" s="28" t="inlineStr">
        <is>
          <t>https://medbuy.ru/</t>
        </is>
      </c>
      <c r="C13" s="31">
        <f>"https://www.google.com/s2/favicons?domain="&amp;B13</f>
        <v/>
      </c>
      <c r="D13" s="31">
        <f>"https://a.pr-cy.ru/"&amp;IF(ISERROR(FIND("//www.",B13)),MID(B13,FIND(":",B13,4)+3,FIND("/",B13,9)-FIND(":",B13,4)-3),MID(B13,FIND(":",B13,4)+7,FIND("/",B13,9)-FIND(":",B13,4)-7))&amp;"/"</f>
        <v/>
      </c>
      <c r="E13" s="33" t="n"/>
      <c r="F13" s="34" t="n"/>
      <c r="G13" s="35" t="n"/>
      <c r="H13" s="36" t="n"/>
      <c r="I13" s="37" t="n"/>
      <c r="J13" s="38" t="n"/>
      <c r="K13" s="131" t="n"/>
      <c r="L13" s="40" t="n"/>
      <c r="M13" s="41" t="n"/>
      <c r="N13" s="42" t="n">
        <v>1973</v>
      </c>
      <c r="O13" s="255" t="n">
        <v>19233</v>
      </c>
      <c r="P13" s="44" t="n"/>
      <c r="Q13" s="311" t="n"/>
      <c r="R13" s="46">
        <f>IFERROR(N13/O13,"")</f>
        <v/>
      </c>
      <c r="S13" s="46">
        <f>IFERROR(P13/Q13,"")</f>
        <v/>
      </c>
      <c r="T13" s="47" t="n"/>
      <c r="U13" s="48" t="n"/>
      <c r="V13" s="49">
        <f>IFERROR(U13/T13,"")</f>
        <v/>
      </c>
      <c r="W13" s="50" t="n"/>
      <c r="X13" s="262" t="inlineStr">
        <is>
          <t>Слабый конкурент</t>
        </is>
      </c>
    </row>
    <row r="14">
      <c r="A14" s="26">
        <f>IMAGE(C14)</f>
        <v/>
      </c>
      <c r="B14" s="28" t="inlineStr">
        <is>
          <t>https://medpribor.pro/</t>
        </is>
      </c>
      <c r="C14" s="31">
        <f>"https://www.google.com/s2/favicons?domain="&amp;B14</f>
        <v/>
      </c>
      <c r="D14" s="31">
        <f>"https://a.pr-cy.ru/"&amp;IF(ISERROR(FIND("//www.",B14)),MID(B14,FIND(":",B14,4)+3,FIND("/",B14,9)-FIND(":",B14,4)-3),MID(B14,FIND(":",B14,4)+7,FIND("/",B14,9)-FIND(":",B14,4)-7))&amp;"/"</f>
        <v/>
      </c>
      <c r="E14" s="33" t="n"/>
      <c r="F14" s="34" t="n"/>
      <c r="G14" s="35" t="n"/>
      <c r="H14" s="36" t="n"/>
      <c r="I14" s="37" t="n"/>
      <c r="J14" s="38" t="n"/>
      <c r="K14" s="131" t="n"/>
      <c r="L14" s="40" t="n"/>
      <c r="M14" s="41" t="n"/>
      <c r="N14" s="42" t="n">
        <v>1826</v>
      </c>
      <c r="O14" s="255" t="n">
        <v>16120</v>
      </c>
      <c r="P14" s="44" t="n"/>
      <c r="Q14" s="311" t="n"/>
      <c r="R14" s="46">
        <f>IFERROR(N14/O14,"")</f>
        <v/>
      </c>
      <c r="S14" s="46">
        <f>IFERROR(P14/Q14,"")</f>
        <v/>
      </c>
      <c r="T14" s="47" t="n"/>
      <c r="U14" s="48" t="n"/>
      <c r="V14" s="49">
        <f>IFERROR(U14/T14,"")</f>
        <v/>
      </c>
      <c r="W14" s="50" t="n"/>
      <c r="X14" s="262" t="inlineStr">
        <is>
          <t>Слабый конкурент</t>
        </is>
      </c>
    </row>
    <row r="15">
      <c r="A15" s="26">
        <f>IMAGE(C15)</f>
        <v/>
      </c>
      <c r="B15" s="28" t="inlineStr">
        <is>
          <t>https://medeq.ru/</t>
        </is>
      </c>
      <c r="C15" s="31">
        <f>"https://www.google.com/s2/favicons?domain="&amp;B15</f>
        <v/>
      </c>
      <c r="D15" s="31">
        <f>"https://a.pr-cy.ru/"&amp;IF(ISERROR(FIND("//www.",B15)),MID(B15,FIND(":",B15,4)+3,FIND("/",B15,9)-FIND(":",B15,4)-3),MID(B15,FIND(":",B15,4)+7,FIND("/",B15,9)-FIND(":",B15,4)-7))&amp;"/"</f>
        <v/>
      </c>
      <c r="E15" s="33" t="n"/>
      <c r="F15" s="34" t="n"/>
      <c r="G15" s="35" t="n"/>
      <c r="H15" s="36" t="n"/>
      <c r="I15" s="37" t="n"/>
      <c r="J15" s="38" t="n"/>
      <c r="K15" s="131" t="n"/>
      <c r="L15" s="40" t="n"/>
      <c r="M15" s="41" t="n"/>
      <c r="N15" s="42" t="n">
        <v>1795</v>
      </c>
      <c r="O15" s="255" t="n">
        <v>31655</v>
      </c>
      <c r="P15" s="44" t="n"/>
      <c r="Q15" s="311" t="n"/>
      <c r="R15" s="46">
        <f>IFERROR(N15/O15,"")</f>
        <v/>
      </c>
      <c r="S15" s="46">
        <f>IFERROR(P15/Q15,"")</f>
        <v/>
      </c>
      <c r="T15" s="47" t="n"/>
      <c r="U15" s="48" t="n"/>
      <c r="V15" s="49">
        <f>IFERROR(U15/T15,"")</f>
        <v/>
      </c>
      <c r="W15" s="50" t="n"/>
      <c r="X15" s="262" t="inlineStr">
        <is>
          <t>Слабый конкурент</t>
        </is>
      </c>
    </row>
    <row r="16">
      <c r="A16" s="26">
        <f>IMAGE(C16)</f>
        <v/>
      </c>
      <c r="B16" s="28" t="inlineStr">
        <is>
          <t>https://farm-invest.ru/</t>
        </is>
      </c>
      <c r="C16" s="31">
        <f>"https://www.google.com/s2/favicons?domain="&amp;B16</f>
        <v/>
      </c>
      <c r="D16" s="31">
        <f>"https://a.pr-cy.ru/"&amp;IF(ISERROR(FIND("//www.",B16)),MID(B16,FIND(":",B16,4)+3,FIND("/",B16,9)-FIND(":",B16,4)-3),MID(B16,FIND(":",B16,4)+7,FIND("/",B16,9)-FIND(":",B16,4)-7))&amp;"/"</f>
        <v/>
      </c>
      <c r="E16" s="33" t="n"/>
      <c r="F16" s="34" t="n"/>
      <c r="G16" s="35" t="n"/>
      <c r="H16" s="36" t="n"/>
      <c r="I16" s="37" t="n"/>
      <c r="J16" s="38" t="n"/>
      <c r="K16" s="131" t="n"/>
      <c r="L16" s="40" t="n"/>
      <c r="M16" s="41" t="n"/>
      <c r="N16" s="42" t="n">
        <v>1753</v>
      </c>
      <c r="O16" s="255" t="n">
        <v>14459</v>
      </c>
      <c r="P16" s="44" t="n"/>
      <c r="Q16" s="311" t="n"/>
      <c r="R16" s="46">
        <f>IFERROR(N16/O16,"")</f>
        <v/>
      </c>
      <c r="S16" s="46">
        <f>IFERROR(P16/Q16,"")</f>
        <v/>
      </c>
      <c r="T16" s="47" t="n"/>
      <c r="U16" s="48" t="n"/>
      <c r="V16" s="49">
        <f>IFERROR(U16/T16,"")</f>
        <v/>
      </c>
      <c r="W16" s="50" t="n"/>
      <c r="X16" s="262" t="inlineStr">
        <is>
          <t>Слабый конкурент</t>
        </is>
      </c>
    </row>
    <row r="17">
      <c r="A17" s="26">
        <f>IMAGE(C17)</f>
        <v/>
      </c>
      <c r="B17" s="28" t="inlineStr">
        <is>
          <t>https://uromed-m.ru/</t>
        </is>
      </c>
      <c r="C17" s="31">
        <f>"https://www.google.com/s2/favicons?domain="&amp;B17</f>
        <v/>
      </c>
      <c r="D17" s="31">
        <f>"https://a.pr-cy.ru/"&amp;IF(ISERROR(FIND("//www.",B17)),MID(B17,FIND(":",B17,4)+3,FIND("/",B17,9)-FIND(":",B17,4)-3),MID(B17,FIND(":",B17,4)+7,FIND("/",B17,9)-FIND(":",B17,4)-7))&amp;"/"</f>
        <v/>
      </c>
      <c r="E17" s="33" t="n"/>
      <c r="F17" s="34" t="n"/>
      <c r="G17" s="35" t="n"/>
      <c r="H17" s="36" t="n"/>
      <c r="I17" s="37" t="n"/>
      <c r="J17" s="38" t="n"/>
      <c r="K17" s="131" t="n"/>
      <c r="L17" s="40" t="n"/>
      <c r="M17" s="41" t="n"/>
      <c r="N17" s="42" t="n">
        <v>1209</v>
      </c>
      <c r="O17" s="255" t="n">
        <v>8364</v>
      </c>
      <c r="P17" s="44" t="n"/>
      <c r="Q17" s="311" t="n"/>
      <c r="R17" s="46">
        <f>IFERROR(N17/O17,"")</f>
        <v/>
      </c>
      <c r="S17" s="46">
        <f>IFERROR(P17/Q17,"")</f>
        <v/>
      </c>
      <c r="T17" s="47" t="n"/>
      <c r="U17" s="48" t="n"/>
      <c r="V17" s="49">
        <f>IFERROR(U17/T17,"")</f>
        <v/>
      </c>
      <c r="W17" s="50" t="n"/>
      <c r="X17" s="262" t="inlineStr">
        <is>
          <t>Слабый конкурент</t>
        </is>
      </c>
    </row>
    <row r="18">
      <c r="A18" s="26">
        <f>IMAGE(C18)</f>
        <v/>
      </c>
      <c r="B18" s="28" t="inlineStr">
        <is>
          <t>https://intelmed.ru/</t>
        </is>
      </c>
      <c r="C18" s="31">
        <f>"https://www.google.com/s2/favicons?domain="&amp;B18</f>
        <v/>
      </c>
      <c r="D18" s="31">
        <f>"https://a.pr-cy.ru/"&amp;IF(ISERROR(FIND("//www.",B18)),MID(B18,FIND(":",B18,4)+3,FIND("/",B18,9)-FIND(":",B18,4)-3),MID(B18,FIND(":",B18,4)+7,FIND("/",B18,9)-FIND(":",B18,4)-7))&amp;"/"</f>
        <v/>
      </c>
      <c r="E18" s="33" t="n"/>
      <c r="F18" s="34" t="n"/>
      <c r="G18" s="35" t="n"/>
      <c r="H18" s="36" t="n"/>
      <c r="I18" s="37" t="n"/>
      <c r="J18" s="38" t="n"/>
      <c r="K18" s="131" t="n"/>
      <c r="L18" s="40" t="n"/>
      <c r="M18" s="41" t="n"/>
      <c r="N18" s="42" t="n"/>
      <c r="O18" s="255" t="n"/>
      <c r="P18" s="44" t="n"/>
      <c r="Q18" s="311" t="n"/>
      <c r="R18" s="46">
        <f>IFERROR(N18/O18,"")</f>
        <v/>
      </c>
      <c r="S18" s="46">
        <f>IFERROR(P18/Q18,"")</f>
        <v/>
      </c>
      <c r="T18" s="47" t="n"/>
      <c r="U18" s="48" t="n"/>
      <c r="V18" s="49">
        <f>IFERROR(U18/T18,"")</f>
        <v/>
      </c>
      <c r="W18" s="50" t="n"/>
      <c r="X18" s="262" t="inlineStr">
        <is>
          <t>Более широкий конкурент</t>
        </is>
      </c>
    </row>
    <row r="19">
      <c r="A19" s="26">
        <f>IMAGE(C19)</f>
        <v/>
      </c>
      <c r="B19" s="28" t="inlineStr">
        <is>
          <t>https://kriptomed.ru/</t>
        </is>
      </c>
      <c r="C19" s="31">
        <f>"https://www.google.com/s2/favicons?domain="&amp;B19</f>
        <v/>
      </c>
      <c r="D19" s="31">
        <f>"https://a.pr-cy.ru/"&amp;IF(ISERROR(FIND("//www.",B19)),MID(B19,FIND(":",B19,4)+3,FIND("/",B19,9)-FIND(":",B19,4)-3),MID(B19,FIND(":",B19,4)+7,FIND("/",B19,9)-FIND(":",B19,4)-7))&amp;"/"</f>
        <v/>
      </c>
      <c r="E19" s="33" t="n"/>
      <c r="F19" s="34" t="n"/>
      <c r="G19" s="35" t="n"/>
      <c r="H19" s="36" t="n"/>
      <c r="I19" s="37" t="n"/>
      <c r="J19" s="38" t="n"/>
      <c r="K19" s="131" t="n"/>
      <c r="L19" s="40" t="n"/>
      <c r="M19" s="41" t="n"/>
      <c r="N19" s="42" t="n"/>
      <c r="O19" s="255" t="n"/>
      <c r="P19" s="44" t="n"/>
      <c r="Q19" s="311" t="n"/>
      <c r="R19" s="46">
        <f>IFERROR(N19/O19,"")</f>
        <v/>
      </c>
      <c r="S19" s="46">
        <f>IFERROR(P19/Q19,"")</f>
        <v/>
      </c>
      <c r="T19" s="47" t="n"/>
      <c r="U19" s="48" t="n"/>
      <c r="V19" s="49">
        <f>IFERROR(U19/T19,"")</f>
        <v/>
      </c>
      <c r="W19" s="50" t="n"/>
      <c r="X19" s="262" t="inlineStr">
        <is>
          <t>Более широкий конкурент</t>
        </is>
      </c>
    </row>
    <row r="20">
      <c r="A20" s="26">
        <f>IMAGE(C20)</f>
        <v/>
      </c>
      <c r="B20" s="28" t="inlineStr">
        <is>
          <t>https://fotek.ru/</t>
        </is>
      </c>
      <c r="C20" s="31">
        <f>"https://www.google.com/s2/favicons?domain="&amp;B20</f>
        <v/>
      </c>
      <c r="D20" s="31">
        <f>"https://a.pr-cy.ru/"&amp;IF(ISERROR(FIND("//www.",B20)),MID(B20,FIND(":",B20,4)+3,FIND("/",B20,9)-FIND(":",B20,4)-3),MID(B20,FIND(":",B20,4)+7,FIND("/",B20,9)-FIND(":",B20,4)-7))&amp;"/"</f>
        <v/>
      </c>
      <c r="E20" s="33" t="n"/>
      <c r="F20" s="34" t="n"/>
      <c r="G20" s="35" t="n"/>
      <c r="H20" s="36" t="n"/>
      <c r="I20" s="37" t="n"/>
      <c r="J20" s="38" t="n"/>
      <c r="K20" s="131" t="n"/>
      <c r="L20" s="40" t="n"/>
      <c r="M20" s="41" t="n"/>
      <c r="N20" s="42" t="n"/>
      <c r="O20" s="255" t="n"/>
      <c r="P20" s="44" t="n"/>
      <c r="Q20" s="311" t="n"/>
      <c r="R20" s="46">
        <f>IFERROR(N20/O20,"")</f>
        <v/>
      </c>
      <c r="S20" s="46">
        <f>IFERROR(P20/Q20,"")</f>
        <v/>
      </c>
      <c r="T20" s="47" t="n"/>
      <c r="U20" s="48" t="n"/>
      <c r="V20" s="49">
        <f>IFERROR(U20/T20,"")</f>
        <v/>
      </c>
      <c r="W20" s="50" t="n"/>
      <c r="X20" s="262" t="inlineStr">
        <is>
          <t>Более широкий конкурент</t>
        </is>
      </c>
    </row>
    <row r="21">
      <c r="A21" s="26">
        <f>IMAGE(C21)</f>
        <v/>
      </c>
      <c r="B21" s="28" t="inlineStr">
        <is>
          <t>https://medgrade.pro/</t>
        </is>
      </c>
      <c r="C21" s="31">
        <f>"https://www.google.com/s2/favicons?domain="&amp;B21</f>
        <v/>
      </c>
      <c r="D21" s="31">
        <f>"https://a.pr-cy.ru/"&amp;IF(ISERROR(FIND("//www.",B21)),MID(B21,FIND(":",B21,4)+3,FIND("/",B21,9)-FIND(":",B21,4)-3),MID(B21,FIND(":",B21,4)+7,FIND("/",B21,9)-FIND(":",B21,4)-7))&amp;"/"</f>
        <v/>
      </c>
      <c r="E21" s="33" t="n"/>
      <c r="F21" s="34" t="n"/>
      <c r="G21" s="35" t="n"/>
      <c r="H21" s="36" t="n"/>
      <c r="I21" s="37" t="n"/>
      <c r="J21" s="38" t="n"/>
      <c r="K21" s="131" t="n"/>
      <c r="L21" s="40" t="n"/>
      <c r="M21" s="41" t="n"/>
      <c r="N21" s="42" t="n"/>
      <c r="O21" s="255" t="n"/>
      <c r="P21" s="44" t="n"/>
      <c r="Q21" s="311" t="n"/>
      <c r="R21" s="46">
        <f>IFERROR(N21/O21,"")</f>
        <v/>
      </c>
      <c r="S21" s="46">
        <f>IFERROR(P21/Q21,"")</f>
        <v/>
      </c>
      <c r="T21" s="47" t="n"/>
      <c r="U21" s="48" t="n"/>
      <c r="V21" s="49">
        <f>IFERROR(U21/T21,"")</f>
        <v/>
      </c>
      <c r="W21" s="50" t="n"/>
      <c r="X21" s="262" t="inlineStr">
        <is>
          <t>Более широкий конкурент</t>
        </is>
      </c>
    </row>
    <row r="22">
      <c r="A22" s="26">
        <f>IMAGE(C22)</f>
        <v/>
      </c>
      <c r="B22" s="340" t="inlineStr">
        <is>
          <t>Медиана (по лидерам)</t>
        </is>
      </c>
      <c r="C22" s="340" t="n"/>
      <c r="D22" s="340" t="n"/>
      <c r="E22" s="336">
        <f>IFERROR(MEDIAN(E2:E21),"")</f>
        <v/>
      </c>
      <c r="F22" s="337">
        <f>IFERROR(MEDIAN(F2:F21),"")</f>
        <v/>
      </c>
      <c r="G22" s="337">
        <f>IFERROR(MEDIAN(G2:G21),"")</f>
        <v/>
      </c>
      <c r="H22" s="337">
        <f>IFERROR(MEDIAN(H2:H21),"")</f>
        <v/>
      </c>
      <c r="I22" s="338">
        <f>IFERROR(MEDIAN(I2:I21),"")</f>
        <v/>
      </c>
      <c r="J22" s="337">
        <f>IFERROR(MEDIAN(J2:J21),"")</f>
        <v/>
      </c>
      <c r="K22" s="339" t="n"/>
      <c r="L22" s="337">
        <f>IFERROR(MEDIAN(L2:L21),"")</f>
        <v/>
      </c>
      <c r="M22" s="340" t="n"/>
      <c r="N22" s="337">
        <f t="array" ref="N22">MEDIAN(IF(X2:X21=" Лидер",N2:N21))</f>
        <v/>
      </c>
      <c r="O22" s="337">
        <f t="array" ref="O22">MEDIAN(IF(X2:X21=" Лидер",O2:O21))</f>
        <v/>
      </c>
      <c r="P22" s="337">
        <f>IFERROR(MEDIAN(P2:P21),"")</f>
        <v/>
      </c>
      <c r="Q22" s="337">
        <f>IFERROR(MEDIAN(Q2:Q21),"")</f>
        <v/>
      </c>
      <c r="R22" s="341">
        <f>N22/O22</f>
        <v/>
      </c>
      <c r="S22" s="341">
        <f>IFERROR(MEDIAN(S2:S21),"")</f>
        <v/>
      </c>
      <c r="T22" s="336">
        <f>IFERROR(MEDIAN(T2:T21),"")</f>
        <v/>
      </c>
      <c r="U22" s="337">
        <f>IFERROR(MEDIAN(U2:U21),"")</f>
        <v/>
      </c>
      <c r="V22" s="337">
        <f>IFERROR(MEDIAN(V2:V21),"")</f>
        <v/>
      </c>
      <c r="W22" s="338">
        <f>IFERROR(MEDIAN(W2:W21),"")</f>
        <v/>
      </c>
      <c r="X22" s="340" t="n"/>
    </row>
    <row r="23">
      <c r="A23" s="26">
        <f>IMAGE(C23)</f>
        <v/>
      </c>
      <c r="B23" s="28" t="inlineStr">
        <is>
          <t>https://reiginmed.ru/</t>
        </is>
      </c>
      <c r="C23" s="342">
        <f>"https://www.google.com/s2/favicons?domain="&amp;B23</f>
        <v/>
      </c>
      <c r="D23" s="342">
        <f>"https://a.pr-cy.ru/"&amp;IF(ISERROR(FIND("//www.",B23)),MID(B23,FIND(":",B23,4)+3,FIND("/",B23,9)-FIND(":",B23,4)-3),MID(B23,FIND(":",B23,4)+7,FIND("/",B23,9)-FIND(":",B23,4)-7))&amp;"/"</f>
        <v/>
      </c>
      <c r="E23" s="343" t="n"/>
      <c r="F23" s="344" t="n"/>
      <c r="G23" s="345" t="n"/>
      <c r="H23" s="344" t="n"/>
      <c r="I23" s="346" t="n"/>
      <c r="J23" s="348" t="n"/>
      <c r="K23" s="131" t="n"/>
      <c r="L23" s="348" t="n"/>
      <c r="M23" s="131" t="n"/>
      <c r="N23" s="348" t="n"/>
      <c r="O23" s="348" t="n"/>
      <c r="P23" s="348" t="n"/>
      <c r="Q23" s="348" t="n"/>
      <c r="R23" s="46">
        <f>IFERROR(N23/O23,"")</f>
        <v/>
      </c>
      <c r="S23" s="46">
        <f>IFERROR(P23/Q23,"")</f>
        <v/>
      </c>
      <c r="T23" s="349" t="n"/>
      <c r="U23" s="350" t="n"/>
      <c r="V23" s="351">
        <f>IFERROR(U23/T23,"")</f>
        <v/>
      </c>
      <c r="W23" s="352" t="n"/>
      <c r="X23" s="353" t="inlineStr">
        <is>
          <t>Наш сайт</t>
        </is>
      </c>
    </row>
  </sheetData>
  <autoFilter ref="A1:V23"/>
  <conditionalFormatting sqref="K2:K31 M2:M31">
    <cfRule type="cellIs" priority="1" operator="equal" dxfId="0">
      <formula>"Рост"</formula>
    </cfRule>
    <cfRule type="cellIs" priority="2" operator="equal" dxfId="1">
      <formula>"Стагнация"</formula>
    </cfRule>
    <cfRule type="cellIs" priority="3" operator="equal" dxfId="2">
      <formula>"Падение"</formula>
    </cfRule>
    <cfRule type="cellIs" priority="4" operator="equal" dxfId="3">
      <formula>"Сильный рост"</formula>
    </cfRule>
    <cfRule type="cellIs" priority="5" operator="equal" dxfId="4">
      <formula>"Сильное падение"</formula>
    </cfRule>
  </conditionalFormatting>
  <conditionalFormatting sqref="K2:K31">
    <cfRule type="colorScale" priority="6">
      <colorScale>
        <cfvo type="min"/>
        <cfvo type="percentile" val="50"/>
        <cfvo type="max"/>
        <color rgb="FFE67C73"/>
        <color rgb="FFFFFFFF"/>
        <color rgb="FF57BB8A"/>
      </colorScale>
    </cfRule>
  </conditionalFormatting>
  <conditionalFormatting sqref="H2:H29 H31">
    <cfRule type="colorScale" priority="7">
      <colorScale>
        <cfvo type="min"/>
        <cfvo type="percentile" val="50"/>
        <cfvo type="max"/>
        <color rgb="FFE67C73"/>
        <color rgb="FFFFFFFF"/>
        <color rgb="FF57BB8A"/>
      </colorScale>
    </cfRule>
  </conditionalFormatting>
  <conditionalFormatting sqref="E2:E29 E31">
    <cfRule type="colorScale" priority="8">
      <colorScale>
        <cfvo type="min"/>
        <cfvo type="percentile" val="50"/>
        <cfvo type="max"/>
        <color rgb="FFE67C73"/>
        <color rgb="FFFFFFFF"/>
        <color rgb="FF57BB8A"/>
      </colorScale>
    </cfRule>
  </conditionalFormatting>
  <conditionalFormatting sqref="U2:U29 U31">
    <cfRule type="colorScale" priority="9">
      <colorScale>
        <cfvo type="min"/>
        <cfvo type="percentile" val="50"/>
        <cfvo type="max"/>
        <color rgb="FFE67C73"/>
        <color rgb="FFFFFFFF"/>
        <color rgb="FF57BB8A"/>
      </colorScale>
    </cfRule>
  </conditionalFormatting>
  <conditionalFormatting sqref="S2:S29 S31">
    <cfRule type="colorScale" priority="10">
      <colorScale>
        <cfvo type="min"/>
        <cfvo type="percentile" val="50"/>
        <cfvo type="max"/>
        <color rgb="FFE67C73"/>
        <color rgb="FFFFFFFF"/>
        <color rgb="FF57BB8A"/>
      </colorScale>
    </cfRule>
  </conditionalFormatting>
  <conditionalFormatting sqref="T2:T29 T31">
    <cfRule type="colorScale" priority="11">
      <colorScale>
        <cfvo type="min"/>
        <cfvo type="percentile" val="50"/>
        <cfvo type="max"/>
        <color rgb="FF57BB8A"/>
        <color rgb="FFFFFFFF"/>
        <color rgb="FFE67C73"/>
      </colorScale>
    </cfRule>
  </conditionalFormatting>
  <conditionalFormatting sqref="V2:X31">
    <cfRule type="cellIs" priority="12" operator="equal" dxfId="0">
      <formula>" Лидер"</formula>
    </cfRule>
    <cfRule type="cellIs" priority="13" operator="equal" dxfId="5">
      <formula>" Тёмная лошадка"</formula>
    </cfRule>
    <cfRule type="cellIs" priority="14" operator="equal" dxfId="2">
      <formula>"Слабый конкурент"</formula>
    </cfRule>
    <cfRule type="cellIs" priority="15" operator="equal" dxfId="6">
      <formula>"Наш сайт"</formula>
    </cfRule>
    <cfRule type="containsText" priority="16" operator="containsText" dxfId="1" text="Более широкий">
      <formula>NOT(ISERROR(SEARCH(("Более широкий"),(V2))))</formula>
    </cfRule>
  </conditionalFormatting>
  <conditionalFormatting sqref="J2:J29 J31">
    <cfRule type="colorScale" priority="17">
      <colorScale>
        <cfvo type="min"/>
        <cfvo type="percentile" val="50"/>
        <cfvo type="max"/>
        <color rgb="FFE67C73"/>
        <color rgb="FFFFFFFF"/>
        <color rgb="FF57BB8A"/>
      </colorScale>
    </cfRule>
  </conditionalFormatting>
  <conditionalFormatting sqref="J3">
    <cfRule type="notContainsBlanks" priority="18" dxfId="0">
      <formula>LEN(TRIM(J3))&gt;0</formula>
    </cfRule>
  </conditionalFormatting>
  <conditionalFormatting sqref="E4">
    <cfRule type="notContainsBlanks" priority="19" dxfId="0">
      <formula>LEN(TRIM(E4))&gt;0</formula>
    </cfRule>
  </conditionalFormatting>
  <conditionalFormatting sqref="I2:I29 I31">
    <cfRule type="colorScale" priority="20">
      <colorScale>
        <cfvo type="min"/>
        <cfvo type="percentile" val="50"/>
        <cfvo type="max"/>
        <color rgb="FFE67C73"/>
        <color rgb="FFFFFFFF"/>
        <color rgb="FF57BB8A"/>
      </colorScale>
    </cfRule>
  </conditionalFormatting>
  <conditionalFormatting sqref="G2:G29 G31">
    <cfRule type="colorScale" priority="21">
      <colorScale>
        <cfvo type="min"/>
        <cfvo type="percentile" val="50"/>
        <cfvo type="max"/>
        <color rgb="FFE67C73"/>
        <color rgb="FFFFFFFF"/>
        <color rgb="FF57BB8A"/>
      </colorScale>
    </cfRule>
  </conditionalFormatting>
  <conditionalFormatting sqref="F2:F29 F31">
    <cfRule type="colorScale" priority="22">
      <colorScale>
        <cfvo type="min"/>
        <cfvo type="percentile" val="50"/>
        <cfvo type="max"/>
        <color rgb="FFE67C73"/>
        <color rgb="FFFFFFFF"/>
        <color rgb="FF57BB8A"/>
      </colorScale>
    </cfRule>
  </conditionalFormatting>
  <conditionalFormatting sqref="L2:L29 L31">
    <cfRule type="colorScale" priority="23">
      <colorScale>
        <cfvo type="min"/>
        <cfvo type="percentile" val="50"/>
        <cfvo type="max"/>
        <color rgb="FFE67C73"/>
        <color rgb="FFFFFFFF"/>
        <color rgb="FF57BB8A"/>
      </colorScale>
    </cfRule>
  </conditionalFormatting>
  <conditionalFormatting sqref="N2:N29 N31">
    <cfRule type="colorScale" priority="24">
      <colorScale>
        <cfvo type="min"/>
        <cfvo type="percentile" val="50"/>
        <cfvo type="max"/>
        <color rgb="FFE67C73"/>
        <color rgb="FFFFFFFF"/>
        <color rgb="FF57BB8A"/>
      </colorScale>
    </cfRule>
  </conditionalFormatting>
  <conditionalFormatting sqref="O2:O29 O31">
    <cfRule type="colorScale" priority="25">
      <colorScale>
        <cfvo type="min"/>
        <cfvo type="percentile" val="50"/>
        <cfvo type="max"/>
        <color rgb="FFE67C73"/>
        <color rgb="FFFFFFFF"/>
        <color rgb="FF57BB8A"/>
      </colorScale>
    </cfRule>
  </conditionalFormatting>
  <conditionalFormatting sqref="P2:P29 P31">
    <cfRule type="colorScale" priority="26">
      <colorScale>
        <cfvo type="min"/>
        <cfvo type="percentile" val="50"/>
        <cfvo type="max"/>
        <color rgb="FFE67C73"/>
        <color rgb="FFFFFFFF"/>
        <color rgb="FF57BB8A"/>
      </colorScale>
    </cfRule>
  </conditionalFormatting>
  <conditionalFormatting sqref="Q2:Q29 Q31">
    <cfRule type="colorScale" priority="27">
      <colorScale>
        <cfvo type="min"/>
        <cfvo type="percentile" val="50"/>
        <cfvo type="max"/>
        <color rgb="FFE67C73"/>
        <color rgb="FFFFFFFF"/>
        <color rgb="FF57BB8A"/>
      </colorScale>
    </cfRule>
  </conditionalFormatting>
  <conditionalFormatting sqref="R2:R29 R31">
    <cfRule type="colorScale" priority="28">
      <colorScale>
        <cfvo type="min"/>
        <cfvo type="percentile" val="50"/>
        <cfvo type="max"/>
        <color rgb="FFE67C73"/>
        <color rgb="FFFFFFFF"/>
        <color rgb="FF57BB8A"/>
      </colorScale>
    </cfRule>
  </conditionalFormatting>
  <conditionalFormatting sqref="V2:V29 V31">
    <cfRule type="colorScale" priority="29">
      <colorScale>
        <cfvo type="min"/>
        <cfvo type="percentile" val="50"/>
        <cfvo type="max"/>
        <color rgb="FFE67C73"/>
        <color rgb="FFFFFFFF"/>
        <color rgb="FF57BB8A"/>
      </colorScale>
    </cfRule>
  </conditionalFormatting>
  <conditionalFormatting sqref="W2:W29 W31">
    <cfRule type="colorScale" priority="30">
      <colorScale>
        <cfvo type="min"/>
        <cfvo type="percentile" val="50"/>
        <cfvo type="max"/>
        <color rgb="FFE67C73"/>
        <color rgb="FFFFFFFF"/>
        <color rgb="FF57BB8A"/>
      </colorScale>
    </cfRule>
  </conditionalFormatting>
  <dataValidations count="1">
    <dataValidation sqref="X2:X23" showDropDown="0" showInputMessage="0" showErrorMessage="0" allowBlank="1" type="list">
      <formula1>'Технический лист'!$A$1:$A$5</formula1>
    </dataValidation>
  </dataValidations>
  <hyperlinks>
    <hyperlink xmlns:r="http://schemas.openxmlformats.org/officeDocument/2006/relationships" ref="D1"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style="354" min="1" max="1"/>
    <col width="16" customWidth="1" style="354" min="2" max="2"/>
    <col width="16" customWidth="1" style="354" min="3" max="3"/>
    <col width="16" customWidth="1" style="354" min="4" max="4"/>
    <col width="16" customWidth="1" style="354" min="5" max="5"/>
    <col width="16" customWidth="1" style="354" min="6" max="6"/>
    <col width="16" customWidth="1" style="354" min="7" max="7"/>
    <col width="16" customWidth="1" style="354" min="8" max="8"/>
    <col width="70" customWidth="1" style="354" min="9" max="9"/>
  </cols>
  <sheetData>
    <row r="1" ht="48" customHeight="1" s="354">
      <c r="A1" s="355" t="inlineStr">
        <is>
          <t>Домен</t>
        </is>
      </c>
      <c r="B1" s="355" t="inlineStr">
        <is>
          <t>Лучшая позиция в выдаче</t>
        </is>
      </c>
      <c r="C1" s="355" t="inlineStr">
        <is>
          <t>Страниц в выдаче (из топ-50)</t>
        </is>
      </c>
      <c r="D1" s="355" t="inlineStr">
        <is>
          <t>Трафик с поиска (оценка, по лучшей странице)</t>
        </is>
      </c>
      <c r="E1" s="355" t="inlineStr">
        <is>
          <t>Ключей в топ 1</t>
        </is>
      </c>
      <c r="F1" s="355" t="inlineStr">
        <is>
          <t>Ключей в топ 5</t>
        </is>
      </c>
      <c r="G1" s="355" t="inlineStr">
        <is>
          <t>Ключей в топ 10</t>
        </is>
      </c>
      <c r="H1" s="355" t="inlineStr">
        <is>
          <t>Ключей в топ 50</t>
        </is>
      </c>
      <c r="I1" s="355" t="inlineStr">
        <is>
          <t>Лучшая страница</t>
        </is>
      </c>
    </row>
    <row r="2">
      <c r="A2" t="inlineStr">
        <is>
          <t>dealmed.ru</t>
        </is>
      </c>
      <c r="B2" t="n">
        <v>1</v>
      </c>
      <c r="C2" t="n">
        <v>3</v>
      </c>
      <c r="D2" t="n">
        <v>111</v>
      </c>
      <c r="E2" t="n">
        <v>8095</v>
      </c>
      <c r="F2" t="n">
        <v>34000</v>
      </c>
      <c r="G2" t="n">
        <v>57843</v>
      </c>
      <c r="H2" t="n">
        <v>139372</v>
      </c>
      <c r="I2" t="inlineStr">
        <is>
          <t>https://dealmed.ru/ginekologicheskoe_oborudovanie.html</t>
        </is>
      </c>
    </row>
    <row r="3">
      <c r="A3" t="inlineStr">
        <is>
          <t>medcomp.ru</t>
        </is>
      </c>
      <c r="B3" t="n">
        <v>3</v>
      </c>
      <c r="C3" t="n">
        <v>1</v>
      </c>
      <c r="D3" t="n">
        <v>28</v>
      </c>
      <c r="E3" t="n">
        <v>3014</v>
      </c>
      <c r="F3" t="n">
        <v>12027</v>
      </c>
      <c r="G3" t="n">
        <v>18818</v>
      </c>
      <c r="H3" t="n">
        <v>42378</v>
      </c>
      <c r="I3" t="inlineStr">
        <is>
          <t>https://medcomp.ru/catalog/oborudovanie/akusherstvo-i-ginekologiya</t>
        </is>
      </c>
    </row>
    <row r="4">
      <c r="A4" t="inlineStr">
        <is>
          <t>medliga.ru</t>
        </is>
      </c>
      <c r="B4" t="n">
        <v>2</v>
      </c>
      <c r="C4" t="n">
        <v>1</v>
      </c>
      <c r="D4" t="n">
        <v>19</v>
      </c>
      <c r="E4" t="n">
        <v>4333</v>
      </c>
      <c r="F4" t="n">
        <v>8912</v>
      </c>
      <c r="G4" t="n">
        <v>11043</v>
      </c>
      <c r="H4" t="n">
        <v>17944</v>
      </c>
      <c r="I4" t="inlineStr">
        <is>
          <t>https://medliga.ru/catalog/ginekologiya</t>
        </is>
      </c>
    </row>
    <row r="5">
      <c r="A5" t="inlineStr">
        <is>
          <t>almamed.su</t>
        </is>
      </c>
      <c r="B5" t="n">
        <v>4</v>
      </c>
      <c r="C5" t="n">
        <v>1</v>
      </c>
      <c r="D5" t="n">
        <v>10</v>
      </c>
      <c r="E5" t="n">
        <v>672</v>
      </c>
      <c r="F5" t="n">
        <v>6795</v>
      </c>
      <c r="G5" t="n">
        <v>17379</v>
      </c>
      <c r="H5" t="n">
        <v>80522</v>
      </c>
      <c r="I5" t="inlineStr">
        <is>
          <t>https://almamed.su/category/ginekologiya</t>
        </is>
      </c>
    </row>
    <row r="6">
      <c r="A6" t="inlineStr">
        <is>
          <t>medcub.ru</t>
        </is>
      </c>
      <c r="B6" t="n">
        <v>18</v>
      </c>
      <c r="C6" t="n">
        <v>1</v>
      </c>
      <c r="D6" t="n">
        <v>12</v>
      </c>
      <c r="E6" t="n">
        <v>1297</v>
      </c>
      <c r="F6" t="n">
        <v>6373</v>
      </c>
      <c r="G6" t="n">
        <v>10031</v>
      </c>
      <c r="H6" t="n">
        <v>24331</v>
      </c>
      <c r="I6" t="inlineStr">
        <is>
          <t>https://medcub.ru/catalog/akusherstvo_i_ginekologiya</t>
        </is>
      </c>
    </row>
    <row r="7">
      <c r="A7" t="inlineStr">
        <is>
          <t>global-mt.ru</t>
        </is>
      </c>
      <c r="B7" t="n">
        <v>31</v>
      </c>
      <c r="C7" t="n">
        <v>1</v>
      </c>
      <c r="D7" t="n">
        <v>9</v>
      </c>
      <c r="E7" t="n">
        <v>1361</v>
      </c>
      <c r="F7" t="n">
        <v>6043</v>
      </c>
      <c r="G7" t="n">
        <v>9645</v>
      </c>
      <c r="H7" t="n">
        <v>19713</v>
      </c>
      <c r="I7" t="inlineStr">
        <is>
          <t>https://global-mt.ru/catalog/ginekologiya</t>
        </is>
      </c>
    </row>
    <row r="8">
      <c r="A8" t="inlineStr">
        <is>
          <t>gmk-kiel.ru</t>
        </is>
      </c>
      <c r="B8" t="n">
        <v>6</v>
      </c>
      <c r="C8" t="n">
        <v>1</v>
      </c>
      <c r="D8" t="n">
        <v>9</v>
      </c>
      <c r="E8" t="n">
        <v>907</v>
      </c>
      <c r="F8" t="n">
        <v>4514</v>
      </c>
      <c r="G8" t="n">
        <v>8074</v>
      </c>
      <c r="H8" t="n">
        <v>17901</v>
      </c>
      <c r="I8" t="inlineStr">
        <is>
          <t>https://gmk-kiel.ru/catalog/oborudovanie/akusherstvo-i-ginekologiya</t>
        </is>
      </c>
    </row>
    <row r="9">
      <c r="A9" t="inlineStr">
        <is>
          <t>cordismed.ru</t>
        </is>
      </c>
      <c r="B9" t="n">
        <v>5</v>
      </c>
      <c r="C9" t="n">
        <v>1</v>
      </c>
      <c r="D9" t="n">
        <v>3</v>
      </c>
      <c r="E9" t="n">
        <v>486</v>
      </c>
      <c r="F9" t="n">
        <v>2687</v>
      </c>
      <c r="G9" t="n">
        <v>5627</v>
      </c>
      <c r="H9" t="n">
        <v>18562</v>
      </c>
      <c r="I9" t="inlineStr">
        <is>
          <t>https://cordismed.ru/ginekologiya</t>
        </is>
      </c>
    </row>
    <row r="10">
      <c r="A10" t="inlineStr">
        <is>
          <t>medrk.ru</t>
        </is>
      </c>
      <c r="B10" t="n">
        <v>26</v>
      </c>
      <c r="C10" t="n">
        <v>1</v>
      </c>
      <c r="D10" t="n">
        <v>3</v>
      </c>
      <c r="E10" t="n">
        <v>421</v>
      </c>
      <c r="F10" t="n">
        <v>2671</v>
      </c>
      <c r="G10" t="n">
        <v>6184</v>
      </c>
      <c r="H10" t="n">
        <v>39793</v>
      </c>
      <c r="I10" t="inlineStr">
        <is>
          <t>https://medrk.ru/shop/ginekologiya</t>
        </is>
      </c>
    </row>
    <row r="11">
      <c r="A11" t="inlineStr">
        <is>
          <t>sterimed.ru</t>
        </is>
      </c>
      <c r="B11" t="n">
        <v>10</v>
      </c>
      <c r="C11" t="n">
        <v>1</v>
      </c>
      <c r="D11" t="n">
        <v>5</v>
      </c>
      <c r="E11" t="n">
        <v>282</v>
      </c>
      <c r="F11" t="n">
        <v>2595</v>
      </c>
      <c r="G11" t="n">
        <v>5515</v>
      </c>
      <c r="H11" t="n">
        <v>12635</v>
      </c>
      <c r="I11" t="inlineStr">
        <is>
          <t>https://sterimed.ru/catalog/akusherstvo_i_ginekologiya</t>
        </is>
      </c>
    </row>
    <row r="12">
      <c r="A12" t="inlineStr">
        <is>
          <t>ivlabmed.ru</t>
        </is>
      </c>
      <c r="B12" t="n">
        <v>12</v>
      </c>
      <c r="C12" t="n">
        <v>1</v>
      </c>
      <c r="D12" t="n">
        <v>3</v>
      </c>
      <c r="E12" t="n">
        <v>233</v>
      </c>
      <c r="F12" t="n">
        <v>2067</v>
      </c>
      <c r="G12" t="n">
        <v>5313</v>
      </c>
      <c r="H12" t="n">
        <v>17494</v>
      </c>
      <c r="I12" t="inlineStr">
        <is>
          <t>https://ivlabmed.ru/catalog/ginekologiya</t>
        </is>
      </c>
    </row>
    <row r="13">
      <c r="A13" t="inlineStr">
        <is>
          <t>medbuy.ru</t>
        </is>
      </c>
      <c r="B13" t="n">
        <v>15</v>
      </c>
      <c r="C13" t="n">
        <v>1</v>
      </c>
      <c r="D13" t="n">
        <v>3</v>
      </c>
      <c r="E13" t="n">
        <v>352</v>
      </c>
      <c r="F13" t="n">
        <v>1973</v>
      </c>
      <c r="G13" t="n">
        <v>4266</v>
      </c>
      <c r="H13" t="n">
        <v>19233</v>
      </c>
      <c r="I13" t="inlineStr">
        <is>
          <t>https://medbuy.ru/catalog/akusherskoe-i-ginekologicheskoe-oborudovanie</t>
        </is>
      </c>
    </row>
    <row r="14">
      <c r="A14" t="inlineStr">
        <is>
          <t>medpribor.pro</t>
        </is>
      </c>
      <c r="B14" t="n">
        <v>22</v>
      </c>
      <c r="C14" t="n">
        <v>1</v>
      </c>
      <c r="D14" t="n">
        <v>4</v>
      </c>
      <c r="E14" t="n">
        <v>317</v>
      </c>
      <c r="F14" t="n">
        <v>1826</v>
      </c>
      <c r="G14" t="n">
        <v>3899</v>
      </c>
      <c r="H14" t="n">
        <v>16120</v>
      </c>
      <c r="I14" t="inlineStr">
        <is>
          <t>https://medpribor.pro/pc/lpu/gynecological</t>
        </is>
      </c>
    </row>
    <row r="15">
      <c r="A15" t="inlineStr">
        <is>
          <t>medeq.ru</t>
        </is>
      </c>
      <c r="B15" t="n">
        <v>7</v>
      </c>
      <c r="C15" t="n">
        <v>1</v>
      </c>
      <c r="D15" t="n">
        <v>5</v>
      </c>
      <c r="E15" t="n">
        <v>237</v>
      </c>
      <c r="F15" t="n">
        <v>1795</v>
      </c>
      <c r="G15" t="n">
        <v>5100</v>
      </c>
      <c r="H15" t="n">
        <v>31655</v>
      </c>
      <c r="I15" t="inlineStr">
        <is>
          <t>https://medeq.ru/store/akusherstvo-i-ginekologiya</t>
        </is>
      </c>
    </row>
    <row r="16">
      <c r="A16" t="inlineStr">
        <is>
          <t>farm-invest.ru</t>
        </is>
      </c>
      <c r="B16" t="n">
        <v>16</v>
      </c>
      <c r="C16" t="n">
        <v>1</v>
      </c>
      <c r="D16" t="n">
        <v>2</v>
      </c>
      <c r="E16" t="n">
        <v>274</v>
      </c>
      <c r="F16" t="n">
        <v>1753</v>
      </c>
      <c r="G16" t="n">
        <v>3889</v>
      </c>
      <c r="H16" t="n">
        <v>14459</v>
      </c>
      <c r="I16" t="inlineStr">
        <is>
          <t>https://farm-invest.ru/catalog/akusherstvo-i-ginekologiya</t>
        </is>
      </c>
    </row>
    <row r="17">
      <c r="A17" t="inlineStr">
        <is>
          <t>uromed-m.ru</t>
        </is>
      </c>
      <c r="B17" t="n">
        <v>8</v>
      </c>
      <c r="C17" t="n">
        <v>1</v>
      </c>
      <c r="D17" t="n">
        <v>3</v>
      </c>
      <c r="E17" t="n">
        <v>224</v>
      </c>
      <c r="F17" t="n">
        <v>1209</v>
      </c>
      <c r="G17" t="n">
        <v>2427</v>
      </c>
      <c r="H17" t="n">
        <v>8364</v>
      </c>
      <c r="I17" t="inlineStr">
        <is>
          <t>https://uromed-m.ru/ginekologicheskoe-oborudovanie</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B16"/>
  <sheetViews>
    <sheetView workbookViewId="0">
      <selection activeCell="A1" sqref="A1"/>
    </sheetView>
  </sheetViews>
  <sheetFormatPr baseColWidth="8" defaultColWidth="12.63" defaultRowHeight="15.75" customHeight="1"/>
  <cols>
    <col width="25.13" customWidth="1" style="354" min="1" max="1"/>
    <col width="120.75" customWidth="1" style="354" min="2" max="2"/>
  </cols>
  <sheetData>
    <row r="1">
      <c r="A1" s="2" t="inlineStr">
        <is>
          <t>Метрика</t>
        </is>
      </c>
      <c r="B1" s="4" t="inlineStr">
        <is>
          <t>Описание</t>
        </is>
      </c>
    </row>
    <row r="2">
      <c r="A2" s="6" t="inlineStr">
        <is>
          <t>Конкурент</t>
        </is>
      </c>
      <c r="B2" s="8" t="inlineStr">
        <is>
          <t>Каким образом мы подбираем конкурентов? Мы используем, как поисковую выдачу по высокочастотным запросам, так и специальные SEO сервисы, которые показывают видимости ключей по конкурентам, которые максимум похожи на наш проект (пример таких сервисов keysso и мега индекс)</t>
        </is>
      </c>
    </row>
    <row r="3">
      <c r="A3" s="6" t="inlineStr">
        <is>
          <t>Индекс Ya</t>
        </is>
      </c>
      <c r="B3" s="8" t="inlineStr">
        <is>
          <t>Кол-во страниц в индексе Яндекса у конкретного домена. Данная метрика дает нам понять на сколько много страниц в индексе в той или иной поисковой системе.</t>
        </is>
      </c>
    </row>
    <row r="4">
      <c r="A4" s="6" t="inlineStr">
        <is>
          <t>Индекс G</t>
        </is>
      </c>
      <c r="B4" s="8" t="inlineStr">
        <is>
          <t>Кол-во страниц в индексе Google у конкретного домена. Данная метрика дает нам понять на сколько много страниц в индексе в той или иной поисковой системе.</t>
        </is>
      </c>
    </row>
    <row r="5">
      <c r="A5" s="6" t="inlineStr">
        <is>
          <t>Возраст</t>
        </is>
      </c>
      <c r="B5" s="8" t="inlineStr">
        <is>
          <t>Возраст конкретного домена. Зачастую поисковые системы отдают приоритет старым сайтам. Это стоит учитывать при продвижении</t>
        </is>
      </c>
    </row>
    <row r="6">
      <c r="A6" s="6" t="inlineStr">
        <is>
          <t>ИКС</t>
        </is>
      </c>
      <c r="B6" s="8" t="inlineStr">
        <is>
          <t>Индекс качества сайта (ИКС) — это показатель того, насколько полезен ваш сайт для пользователей с точки зрения Яндекса.</t>
        </is>
      </c>
    </row>
    <row r="7">
      <c r="A7" s="6" t="inlineStr">
        <is>
          <t>Видимость Ya</t>
        </is>
      </c>
      <c r="B7" s="8" t="inlineStr">
        <is>
          <t>Видимость ключевых запросов в яндексе. Данная метрика показывает на сколько много ключей ранжируются в поисковых системах</t>
        </is>
      </c>
    </row>
    <row r="8">
      <c r="A8" s="6" t="inlineStr">
        <is>
          <t>Видимость G</t>
        </is>
      </c>
      <c r="B8" s="8" t="inlineStr">
        <is>
          <t>Видимость ключевых запросов в google. Данная метрика показывает на сколько много ключей ранжируются в поисковых системах</t>
        </is>
      </c>
    </row>
    <row r="9">
      <c r="A9" s="6" t="inlineStr">
        <is>
          <t>ТОП-5 в ПС</t>
        </is>
      </c>
      <c r="B9" s="8" t="inlineStr">
        <is>
          <t>Кол-во ключей в ТОП-5 в 2х поисковых системах (яндекс и google)</t>
        </is>
      </c>
    </row>
    <row r="10">
      <c r="A10" s="6" t="inlineStr">
        <is>
          <t>ТОП-50 в ПС</t>
        </is>
      </c>
      <c r="B10" s="8" t="inlineStr">
        <is>
          <t>Кол-во ключей в ТОП-50 в 2х поисковых системах (яндекс и google)</t>
        </is>
      </c>
    </row>
    <row r="11">
      <c r="A11" s="6" t="inlineStr">
        <is>
          <t>Эффективность</t>
        </is>
      </c>
      <c r="B11" s="8" t="inlineStr">
        <is>
          <t>Отношение кол-ва ключей в ТОП-5 к кол-ву ключей в ТОП-50</t>
        </is>
      </c>
    </row>
    <row r="12">
      <c r="A12" s="6" t="inlineStr">
        <is>
          <t>Доноры</t>
        </is>
      </c>
      <c r="B12" s="8" t="inlineStr">
        <is>
          <t>Кол-во внешних сайтов, которые ссылаются на конкурента. Количество ссылок на сайт - один из старейших факторов ранжирования, который показывает, на сколько можно доверять тому или иному ресурсу. Однако важно соблюдать и качество ссылок (они не должны быть сильно заспамлены и на них должно ссылаться множество других сайтов в сети).</t>
        </is>
      </c>
    </row>
    <row r="13">
      <c r="A13" s="6" t="inlineStr">
        <is>
          <t>Ссылки</t>
        </is>
      </c>
      <c r="B13" s="8" t="inlineStr">
        <is>
          <t>С одного сайта может ссылаться несколько ссылок. Нам важно понимать, какие стратегии используют конкуренты</t>
        </is>
      </c>
    </row>
    <row r="14">
      <c r="A14" s="6" t="inlineStr">
        <is>
          <t>Ссылок/доноров</t>
        </is>
      </c>
      <c r="B14" s="8" t="inlineStr">
        <is>
          <t>Отношение кол-ва ссылок к кол-во внешних сайтах, которые ссылаются на домен</t>
        </is>
      </c>
    </row>
    <row r="15">
      <c r="A15" s="17" t="inlineStr">
        <is>
          <t>DR</t>
        </is>
      </c>
      <c r="B15" s="8" t="inlineStr">
        <is>
          <t>Domain Raiting. Метрика сервиса Ahrefs, которая показывает на сколько качественные доноры ссылаются на сайт</t>
        </is>
      </c>
    </row>
    <row r="16">
      <c r="A16" s="6" t="inlineStr">
        <is>
          <t>Статус</t>
        </is>
      </c>
      <c r="B16" s="20" t="inlineStr">
        <is>
          <t>Лидер - таким статусом мы определяем лидеров, на которых будем ориентироваться при работе над сайтом
Более широкий конкурент - такие сайты имеют бОльший ассортимент, чем наш (зачастую это просто одна из категорий на сайте) Такие сайты имеют бОльший запросный индекс (на семантику такого конкурента мы не опираемся, но можем проанализировать коммерческие факторы таких конкурентов)
Слабый конкурент - конкурент, который не дал хороших результатов с точки зрения SEO
Темная лошадка - таким статусом мы определяем конкурентов, которые, например: 1. При не большом кол-ве ссылок хорошо ранжируются в google. 2. Cайту 1 год, а он показывает результаты на ровне со старичками, стратегию такого конкурента мы возьмем на вооружение</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K2"/>
  <sheetViews>
    <sheetView showGridLines="0" workbookViewId="0">
      <selection activeCell="A1" sqref="A1"/>
    </sheetView>
  </sheetViews>
  <sheetFormatPr baseColWidth="8" defaultColWidth="12.63" defaultRowHeight="15.75" customHeight="1"/>
  <cols>
    <col width="19.63" customWidth="1" style="354" min="1" max="1"/>
    <col width="23.75" customWidth="1" style="354" min="2" max="2"/>
    <col width="3.5" customWidth="1" style="354" min="3" max="3"/>
    <col width="14.38" customWidth="1" style="354" min="4" max="4"/>
  </cols>
  <sheetData>
    <row r="1">
      <c r="A1" s="0" t="inlineStr">
        <is>
          <t>Ссылок/доноров</t>
        </is>
      </c>
      <c r="B1" s="0" t="inlineStr">
        <is>
          <t>Конкурент</t>
        </is>
      </c>
      <c r="D1" s="0" t="inlineStr">
        <is>
          <t>Страниц в Яндекс</t>
        </is>
      </c>
      <c r="E1" s="0" t="inlineStr">
        <is>
          <t>Страниц в Google</t>
        </is>
      </c>
      <c r="F1" s="0" t="inlineStr">
        <is>
          <t>ИКС</t>
        </is>
      </c>
      <c r="G1" s="0" t="inlineStr">
        <is>
          <t>Видимость Ya</t>
        </is>
      </c>
      <c r="H1" s="0" t="inlineStr">
        <is>
          <t>Видимость G</t>
        </is>
      </c>
      <c r="I1" s="0" t="inlineStr">
        <is>
          <t>Доноры</t>
        </is>
      </c>
      <c r="J1" s="0" t="inlineStr">
        <is>
          <t>Ссылки</t>
        </is>
      </c>
      <c r="K1" s="0" t="inlineStr">
        <is>
          <t>DR</t>
        </is>
      </c>
    </row>
    <row r="2">
      <c r="A2" s="0" t="inlineStr">
        <is>
          <t>Итого</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B9"/>
  <sheetViews>
    <sheetView workbookViewId="0">
      <selection activeCell="A1" sqref="A1"/>
    </sheetView>
  </sheetViews>
  <sheetFormatPr baseColWidth="8" defaultColWidth="12.63" defaultRowHeight="15.75" customHeight="1"/>
  <cols>
    <col width="70.5" customWidth="1" style="354" min="1" max="1"/>
    <col width="50.88" customWidth="1" style="354" min="2" max="2"/>
  </cols>
  <sheetData>
    <row r="1">
      <c r="A1" s="356" t="inlineStr">
        <is>
          <t>Для работы с файлом - вам необходимо скопировать его себе и работать в копии файла!</t>
        </is>
      </c>
      <c r="B1" s="357" t="n"/>
    </row>
    <row r="2">
      <c r="A2" s="358" t="n"/>
      <c r="B2" s="359" t="n"/>
    </row>
    <row r="3">
      <c r="A3" s="360" t="n"/>
      <c r="B3" s="361" t="n"/>
    </row>
    <row r="4">
      <c r="A4" s="362" t="inlineStr">
        <is>
          <t>Видео-инструкции по работе с файлом:</t>
        </is>
      </c>
      <c r="B4" s="363" t="n"/>
    </row>
    <row r="5">
      <c r="A5" s="18" t="inlineStr">
        <is>
          <t xml:space="preserve">1) Как подобрать конкурентов? </t>
        </is>
      </c>
      <c r="B5" s="25" t="inlineStr">
        <is>
          <t>https://youtu.be/KUvTzfddoL0</t>
        </is>
      </c>
    </row>
    <row r="6">
      <c r="A6" s="18" t="inlineStr">
        <is>
          <t>2) Как анализировать конкурентов?</t>
        </is>
      </c>
      <c r="B6" s="25" t="inlineStr">
        <is>
          <t>https://youtu.be/dpf_YvhjWgI</t>
        </is>
      </c>
    </row>
    <row r="7">
      <c r="A7" s="29" t="n"/>
    </row>
    <row r="8">
      <c r="A8" s="30" t="inlineStr">
        <is>
          <t>Если у вас есть вопросы пишите мне в соц. сетях:</t>
        </is>
      </c>
      <c r="B8" s="32" t="inlineStr">
        <is>
          <t>https://vk.com/smirnov.marketing</t>
        </is>
      </c>
    </row>
    <row r="9">
      <c r="B9" s="32" t="inlineStr">
        <is>
          <t>https://www.instagram.com/smirnov.marketing/</t>
        </is>
      </c>
    </row>
  </sheetData>
  <mergeCells count="4">
    <mergeCell ref="A4:B4"/>
    <mergeCell ref="A1:B3"/>
    <mergeCell ref="A8:A9"/>
    <mergeCell ref="A7:B7"/>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5"/>
  <sheetViews>
    <sheetView workbookViewId="0">
      <selection activeCell="A1" sqref="A1"/>
    </sheetView>
  </sheetViews>
  <sheetFormatPr baseColWidth="8" defaultColWidth="12.63" defaultRowHeight="15.75" customHeight="1"/>
  <cols>
    <col width="20.63" customWidth="1" style="354" min="1" max="1"/>
  </cols>
  <sheetData>
    <row r="1">
      <c r="A1" s="27" t="inlineStr">
        <is>
          <t xml:space="preserve"> Лидер</t>
        </is>
      </c>
    </row>
    <row r="2">
      <c r="A2" s="27" t="inlineStr">
        <is>
          <t xml:space="preserve"> Тёмная лошадка</t>
        </is>
      </c>
    </row>
    <row r="3">
      <c r="A3" s="27" t="inlineStr">
        <is>
          <t>Слабый конкурент</t>
        </is>
      </c>
    </row>
    <row r="4">
      <c r="A4" s="27" t="inlineStr">
        <is>
          <t>Наш сайт</t>
        </is>
      </c>
    </row>
    <row r="5">
      <c r="A5" s="27" t="inlineStr">
        <is>
          <t>Более широкий конкурент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2026-09-30T20:39:08Z</dcterms:created>
  <dcterms:modified xsi:type="dcterms:W3CDTF">2026-09-30T20:39:08Z</dcterms:modified>
</cp:coreProperties>
</file>