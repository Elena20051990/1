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0"/>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4">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n"/>
      <c r="L2" s="40" t="n">
        <v>333910</v>
      </c>
      <c r="M2" s="41" t="n"/>
      <c r="N2" s="42" t="n">
        <v>34000</v>
      </c>
      <c r="O2" s="255" t="n">
        <v>139372</v>
      </c>
      <c r="P2" s="44" t="n">
        <v>12702</v>
      </c>
      <c r="Q2" s="311" t="n">
        <v>82276</v>
      </c>
      <c r="R2" s="46">
        <f>IFERROR(N2/O2,"")</f>
        <v/>
      </c>
      <c r="S2" s="46">
        <f>IFERROR(P2/Q2,"")</f>
        <v/>
      </c>
      <c r="T2" s="47" t="n">
        <v>632</v>
      </c>
      <c r="U2" s="48" t="n">
        <v>4780</v>
      </c>
      <c r="V2" s="49">
        <f>IFERROR(U2/T2,"")</f>
        <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n"/>
      <c r="L3" s="40" t="n">
        <v>532882</v>
      </c>
      <c r="M3" s="41" t="n"/>
      <c r="N3" s="42" t="n">
        <v>12027</v>
      </c>
      <c r="O3" s="255" t="n">
        <v>42378</v>
      </c>
      <c r="P3" s="44" t="n">
        <v>14364</v>
      </c>
      <c r="Q3" s="311" t="n">
        <v>42983</v>
      </c>
      <c r="R3" s="46">
        <f>IFERROR(N3/O3,"")</f>
        <v/>
      </c>
      <c r="S3" s="46">
        <f>IFERROR(P3/Q3,"")</f>
        <v/>
      </c>
      <c r="T3" s="47" t="n">
        <v>490</v>
      </c>
      <c r="U3" s="48" t="n">
        <v>8330</v>
      </c>
      <c r="V3" s="49">
        <f>IFERROR(U3/T3,"")</f>
        <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n"/>
      <c r="L4" s="40" t="n">
        <v>103519</v>
      </c>
      <c r="M4" s="41" t="n"/>
      <c r="N4" s="42" t="n">
        <v>8912</v>
      </c>
      <c r="O4" s="255" t="n">
        <v>17944</v>
      </c>
      <c r="P4" s="44" t="n">
        <v>5014</v>
      </c>
      <c r="Q4" s="311" t="n">
        <v>17355</v>
      </c>
      <c r="R4" s="46">
        <f>IFERROR(N4/O4,"")</f>
        <v/>
      </c>
      <c r="S4" s="46">
        <f>IFERROR(P4/Q4,"")</f>
        <v/>
      </c>
      <c r="T4" s="47" t="n">
        <v>566</v>
      </c>
      <c r="U4" s="48" t="n">
        <v>23306</v>
      </c>
      <c r="V4" s="49">
        <f>IFERROR(U4/T4,"")</f>
        <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n"/>
      <c r="L5" s="40" t="n">
        <v>88676</v>
      </c>
      <c r="M5" s="41" t="n"/>
      <c r="N5" s="42" t="n">
        <v>6795</v>
      </c>
      <c r="O5" s="255" t="n">
        <v>80522</v>
      </c>
      <c r="P5" s="44" t="n">
        <v>4490</v>
      </c>
      <c r="Q5" s="311" t="n">
        <v>61946</v>
      </c>
      <c r="R5" s="46">
        <f>IFERROR(N5/O5,"")</f>
        <v/>
      </c>
      <c r="S5" s="46">
        <f>IFERROR(P5/Q5,"")</f>
        <v/>
      </c>
      <c r="T5" s="47" t="n">
        <v>392</v>
      </c>
      <c r="U5" s="48" t="n">
        <v>2986</v>
      </c>
      <c r="V5" s="49">
        <f>IFERROR(U5/T5,"")</f>
        <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n"/>
      <c r="L6" s="40" t="n">
        <v>21858</v>
      </c>
      <c r="M6" s="41" t="n"/>
      <c r="N6" s="42" t="n">
        <v>6373</v>
      </c>
      <c r="O6" s="255" t="n">
        <v>24331</v>
      </c>
      <c r="P6" s="44" t="n">
        <v>1403</v>
      </c>
      <c r="Q6" s="311" t="n">
        <v>16059</v>
      </c>
      <c r="R6" s="46">
        <f>IFERROR(N6/O6,"")</f>
        <v/>
      </c>
      <c r="S6" s="46">
        <f>IFERROR(P6/Q6,"")</f>
        <v/>
      </c>
      <c r="T6" s="47" t="n">
        <v>79</v>
      </c>
      <c r="U6" s="48" t="n">
        <v>394</v>
      </c>
      <c r="V6" s="49">
        <f>IFERROR(U6/T6,"")</f>
        <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n"/>
      <c r="L7" s="40" t="n">
        <v>8117</v>
      </c>
      <c r="M7" s="41" t="n"/>
      <c r="N7" s="42" t="n">
        <v>6043</v>
      </c>
      <c r="O7" s="255" t="n">
        <v>19713</v>
      </c>
      <c r="P7" s="44" t="n">
        <v>440</v>
      </c>
      <c r="Q7" s="311" t="n">
        <v>7340</v>
      </c>
      <c r="R7" s="46">
        <f>IFERROR(N7/O7,"")</f>
        <v/>
      </c>
      <c r="S7" s="46">
        <f>IFERROR(P7/Q7,"")</f>
        <v/>
      </c>
      <c r="T7" s="47" t="n">
        <v>322</v>
      </c>
      <c r="U7" s="48" t="n">
        <v>1962</v>
      </c>
      <c r="V7" s="49">
        <f>IFERROR(U7/T7,"")</f>
        <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n"/>
      <c r="L8" s="40" t="n">
        <v>29067</v>
      </c>
      <c r="M8" s="41" t="n"/>
      <c r="N8" s="42" t="n">
        <v>4514</v>
      </c>
      <c r="O8" s="255" t="n">
        <v>17901</v>
      </c>
      <c r="P8" s="44" t="n">
        <v>1277</v>
      </c>
      <c r="Q8" s="311" t="n">
        <v>7205</v>
      </c>
      <c r="R8" s="46">
        <f>IFERROR(N8/O8,"")</f>
        <v/>
      </c>
      <c r="S8" s="46">
        <f>IFERROR(P8/Q8,"")</f>
        <v/>
      </c>
      <c r="T8" s="47" t="n">
        <v>69</v>
      </c>
      <c r="U8" s="48" t="n">
        <v>182</v>
      </c>
      <c r="V8" s="49">
        <f>IFERROR(U8/T8,"")</f>
        <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n"/>
      <c r="L9" s="40" t="n">
        <v>83848</v>
      </c>
      <c r="M9" s="41" t="n"/>
      <c r="N9" s="42" t="n">
        <v>2687</v>
      </c>
      <c r="O9" s="255" t="n">
        <v>18562</v>
      </c>
      <c r="P9" s="44" t="n">
        <v>3791</v>
      </c>
      <c r="Q9" s="311" t="n">
        <v>22596</v>
      </c>
      <c r="R9" s="46">
        <f>IFERROR(N9/O9,"")</f>
        <v/>
      </c>
      <c r="S9" s="46">
        <f>IFERROR(P9/Q9,"")</f>
        <v/>
      </c>
      <c r="T9" s="47" t="n">
        <v>292</v>
      </c>
      <c r="U9" s="48" t="n">
        <v>2803</v>
      </c>
      <c r="V9" s="49">
        <f>IFERROR(U9/T9,"")</f>
        <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n"/>
      <c r="L10" s="40" t="n">
        <v>107840</v>
      </c>
      <c r="M10" s="41" t="n"/>
      <c r="N10" s="42" t="n">
        <v>2671</v>
      </c>
      <c r="O10" s="255" t="n">
        <v>39793</v>
      </c>
      <c r="P10" s="44" t="n">
        <v>4726</v>
      </c>
      <c r="Q10" s="311" t="n">
        <v>32743</v>
      </c>
      <c r="R10" s="46">
        <f>IFERROR(N10/O10,"")</f>
        <v/>
      </c>
      <c r="S10" s="46">
        <f>IFERROR(P10/Q10,"")</f>
        <v/>
      </c>
      <c r="T10" s="47" t="n">
        <v>712</v>
      </c>
      <c r="U10" s="48" t="n">
        <v>8628</v>
      </c>
      <c r="V10" s="49">
        <f>IFERROR(U10/T10,"")</f>
        <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n"/>
      <c r="L11" s="40" t="n">
        <v>13726</v>
      </c>
      <c r="M11" s="41" t="n"/>
      <c r="N11" s="42" t="n">
        <v>2595</v>
      </c>
      <c r="O11" s="255" t="n">
        <v>12635</v>
      </c>
      <c r="P11" s="44" t="n">
        <v>874</v>
      </c>
      <c r="Q11" s="311" t="n">
        <v>8113</v>
      </c>
      <c r="R11" s="46">
        <f>IFERROR(N11/O11,"")</f>
        <v/>
      </c>
      <c r="S11" s="46">
        <f>IFERROR(P11/Q11,"")</f>
        <v/>
      </c>
      <c r="T11" s="47" t="n">
        <v>107</v>
      </c>
      <c r="U11" s="48" t="n">
        <v>363</v>
      </c>
      <c r="V11" s="49">
        <f>IFERROR(U11/T11,"")</f>
        <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n"/>
      <c r="L12" s="40" t="n">
        <v>2035</v>
      </c>
      <c r="M12" s="41" t="n"/>
      <c r="N12" s="42" t="n">
        <v>2067</v>
      </c>
      <c r="O12" s="255" t="n">
        <v>17494</v>
      </c>
      <c r="P12" s="44" t="n">
        <v>151</v>
      </c>
      <c r="Q12" s="311" t="n">
        <v>4310</v>
      </c>
      <c r="R12" s="46">
        <f>IFERROR(N12/O12,"")</f>
        <v/>
      </c>
      <c r="S12" s="46">
        <f>IFERROR(P12/Q12,"")</f>
        <v/>
      </c>
      <c r="T12" s="47" t="n">
        <v>121</v>
      </c>
      <c r="U12" s="48" t="n">
        <v>248</v>
      </c>
      <c r="V12" s="49">
        <f>IFERROR(U12/T12,"")</f>
        <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n"/>
      <c r="L13" s="40" t="n">
        <v>5156</v>
      </c>
      <c r="M13" s="41" t="n"/>
      <c r="N13" s="42" t="n">
        <v>1973</v>
      </c>
      <c r="O13" s="255" t="n">
        <v>19233</v>
      </c>
      <c r="P13" s="44" t="n">
        <v>249</v>
      </c>
      <c r="Q13" s="311" t="n">
        <v>6835</v>
      </c>
      <c r="R13" s="46">
        <f>IFERROR(N13/O13,"")</f>
        <v/>
      </c>
      <c r="S13" s="46">
        <f>IFERROR(P13/Q13,"")</f>
        <v/>
      </c>
      <c r="T13" s="47" t="n">
        <v>262</v>
      </c>
      <c r="U13" s="48" t="n">
        <v>1037</v>
      </c>
      <c r="V13" s="49">
        <f>IFERROR(U13/T13,"")</f>
        <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n"/>
      <c r="L14" s="40" t="n">
        <v>33398</v>
      </c>
      <c r="M14" s="41" t="n"/>
      <c r="N14" s="42" t="n">
        <v>1826</v>
      </c>
      <c r="O14" s="255" t="n">
        <v>16120</v>
      </c>
      <c r="P14" s="44" t="n">
        <v>1321</v>
      </c>
      <c r="Q14" s="311" t="n">
        <v>10167</v>
      </c>
      <c r="R14" s="46">
        <f>IFERROR(N14/O14,"")</f>
        <v/>
      </c>
      <c r="S14" s="46">
        <f>IFERROR(P14/Q14,"")</f>
        <v/>
      </c>
      <c r="T14" s="47" t="n">
        <v>269</v>
      </c>
      <c r="U14" s="48" t="n">
        <v>1446</v>
      </c>
      <c r="V14" s="49">
        <f>IFERROR(U14/T14,"")</f>
        <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f>IFERROR(N15/O15,"")</f>
        <v/>
      </c>
      <c r="S15" s="46">
        <f>IFERROR(P15/Q15,"")</f>
        <v/>
      </c>
      <c r="T15" s="47" t="n">
        <v>256</v>
      </c>
      <c r="U15" s="48" t="n">
        <v>7606</v>
      </c>
      <c r="V15" s="49">
        <f>IFERROR(U15/T15,"")</f>
        <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f>IFERROR(N16/O16,"")</f>
        <v/>
      </c>
      <c r="S16" s="46">
        <f>IFERROR(P16/Q16,"")</f>
        <v/>
      </c>
      <c r="T16" s="47" t="n">
        <v>337</v>
      </c>
      <c r="U16" s="48" t="n">
        <v>1791</v>
      </c>
      <c r="V16" s="49">
        <f>IFERROR(U16/T16,"")</f>
        <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f>IFERROR(N17/O17,"")</f>
        <v/>
      </c>
      <c r="S17" s="46">
        <f>IFERROR(P17/Q17,"")</f>
        <v/>
      </c>
      <c r="T17" s="47" t="n">
        <v>287</v>
      </c>
      <c r="U17" s="48" t="n">
        <v>750</v>
      </c>
      <c r="V17" s="49">
        <f>IFERROR(U17/T17,"")</f>
        <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f>IFERROR(N18/O18,"")</f>
        <v/>
      </c>
      <c r="S18" s="46">
        <f>IFERROR(P18/Q18,"")</f>
        <v/>
      </c>
      <c r="T18" s="47" t="n">
        <v>214</v>
      </c>
      <c r="U18" s="48" t="n">
        <v>479</v>
      </c>
      <c r="V18" s="49">
        <f>IFERROR(U18/T18,"")</f>
        <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f>IFERROR(N19/O19,"")</f>
        <v/>
      </c>
      <c r="S19" s="46">
        <f>IFERROR(P19/Q19,"")</f>
        <v/>
      </c>
      <c r="T19" s="47" t="n">
        <v>127</v>
      </c>
      <c r="U19" s="48" t="n">
        <v>253</v>
      </c>
      <c r="V19" s="49">
        <f>IFERROR(U19/T19,"")</f>
        <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f>IFERROR(N20/O20,"")</f>
        <v/>
      </c>
      <c r="S20" s="46">
        <f>IFERROR(P20/Q20,"")</f>
        <v/>
      </c>
      <c r="T20" s="47" t="n">
        <v>197</v>
      </c>
      <c r="U20" s="48" t="n">
        <v>1911</v>
      </c>
      <c r="V20" s="49">
        <f>IFERROR(U20/T20,"")</f>
        <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f>IFERROR(N21/O21,"")</f>
        <v/>
      </c>
      <c r="S21" s="46">
        <f>IFERROR(P21/Q21,"")</f>
        <v/>
      </c>
      <c r="T21" s="47" t="n">
        <v>103</v>
      </c>
      <c r="U21" s="48" t="n">
        <v>253</v>
      </c>
      <c r="V21" s="49">
        <f>IFERROR(U21/T21,"")</f>
        <v/>
      </c>
      <c r="W21" s="50" t="n">
        <v>26</v>
      </c>
      <c r="X21" s="262" t="inlineStr">
        <is>
          <t>Слабый конкурент</t>
        </is>
      </c>
    </row>
    <row r="22">
      <c r="A22" s="26">
        <f>IMAGE(C22)</f>
        <v/>
      </c>
      <c r="B22" s="340" t="inlineStr">
        <is>
          <t>Медиана (по лидерам)</t>
        </is>
      </c>
      <c r="C22" s="340" t="n"/>
      <c r="D22" s="340" t="n"/>
      <c r="E22" s="336">
        <f>IFERROR(MEDIAN(E2:E21),"")</f>
        <v/>
      </c>
      <c r="F22" s="337">
        <f>IFERROR(MEDIAN(F2:F21),"")</f>
        <v/>
      </c>
      <c r="G22" s="337">
        <f>IFERROR(MEDIAN(G2:G21),"")</f>
        <v/>
      </c>
      <c r="H22" s="337">
        <f>IFERROR(MEDIAN(H2:H21),"")</f>
        <v/>
      </c>
      <c r="I22" s="338">
        <f>IFERROR(MEDIAN(I2:I21),"")</f>
        <v/>
      </c>
      <c r="J22" s="337">
        <f>IFERROR(MEDIAN(J2:J21),"")</f>
        <v/>
      </c>
      <c r="K22" s="339" t="n"/>
      <c r="L22" s="337">
        <f>IFERROR(MEDIAN(L2:L21),"")</f>
        <v/>
      </c>
      <c r="M22" s="340" t="n"/>
      <c r="N22" s="337">
        <f t="array" ref="N22">MEDIAN(IF(X2:X21=" Лидер",N2:N21))</f>
        <v/>
      </c>
      <c r="O22" s="337">
        <f t="array" ref="O22">MEDIAN(IF(X2:X21=" Лидер",O2:O21))</f>
        <v/>
      </c>
      <c r="P22" s="337">
        <f t="array" ref="P22">MEDIAN(IF(X2:X21=" Лидер",P2:P21))</f>
        <v/>
      </c>
      <c r="Q22" s="337">
        <f t="array" ref="Q22">MEDIAN(IF(X2:X21=" Лидер",Q2:Q21))</f>
        <v/>
      </c>
      <c r="R22" s="341">
        <f>N22/O22</f>
        <v/>
      </c>
      <c r="S22" s="341">
        <f>P22/Q22</f>
        <v/>
      </c>
      <c r="T22" s="336">
        <f>IFERROR(MEDIAN(T2:T21),"")</f>
        <v/>
      </c>
      <c r="U22" s="337">
        <f>IFERROR(MEDIAN(U2:U21),"")</f>
        <v/>
      </c>
      <c r="V22" s="337">
        <f>IFERROR(MEDIAN(V2:V21),"")</f>
        <v/>
      </c>
      <c r="W22" s="338">
        <f>IFERROR(MEDIAN(W2:W21),"")</f>
        <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n"/>
      <c r="L23" s="348" t="n"/>
      <c r="M23" s="131" t="n"/>
      <c r="N23" s="348" t="n">
        <v>0</v>
      </c>
      <c r="O23" s="348" t="n">
        <v>1</v>
      </c>
      <c r="P23" s="348" t="n"/>
      <c r="Q23" s="348" t="n"/>
      <c r="R23" s="46">
        <f>IFERROR(N23/O23,"")</f>
        <v/>
      </c>
      <c r="S23" s="46">
        <f>IFERROR(P23/Q23,"")</f>
        <v/>
      </c>
      <c r="T23" s="349" t="n">
        <v>0</v>
      </c>
      <c r="U23" s="350" t="n">
        <v>0</v>
      </c>
      <c r="V23" s="351">
        <f>IFERROR(U23/T23,"")</f>
        <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t="n">
        <v>195000</v>
      </c>
      <c r="M2" t="n">
        <v>30</v>
      </c>
      <c r="N2" t="n">
        <v>52</v>
      </c>
      <c r="O2" t="inlineStr">
        <is>
          <t>Здоровье</t>
        </is>
      </c>
      <c r="P2"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t="n">
        <v>141000</v>
      </c>
      <c r="M3" t="n">
        <v>33</v>
      </c>
      <c r="N3" t="n">
        <v>48</v>
      </c>
      <c r="O3" t="inlineStr">
        <is>
          <t>Здоровье</t>
        </is>
      </c>
      <c r="P3"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t="n">
        <v>49300</v>
      </c>
      <c r="M4" t="n">
        <v>58</v>
      </c>
      <c r="N4" t="n">
        <v>46</v>
      </c>
      <c r="O4" t="inlineStr">
        <is>
          <t>Здоровье</t>
        </is>
      </c>
      <c r="P4"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t="n">
        <v>87800</v>
      </c>
      <c r="M5" t="n">
        <v>65</v>
      </c>
      <c r="N5" t="n">
        <v>46</v>
      </c>
      <c r="O5" t="inlineStr">
        <is>
          <t>Здоровье</t>
        </is>
      </c>
      <c r="P5"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t="n">
        <v>55700</v>
      </c>
      <c r="M6" t="n">
        <v>29</v>
      </c>
      <c r="N6" t="n">
        <v>58</v>
      </c>
      <c r="O6" t="inlineStr">
        <is>
          <t>Здоровье</t>
        </is>
      </c>
      <c r="P6"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t="n">
        <v>32200</v>
      </c>
      <c r="M7" t="n">
        <v>61</v>
      </c>
      <c r="N7" t="n">
        <v>66</v>
      </c>
      <c r="O7" t="inlineStr">
        <is>
          <t>Здоровье</t>
        </is>
      </c>
      <c r="P7"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t="n">
        <v>8740</v>
      </c>
      <c r="M8" t="n">
        <v>44</v>
      </c>
      <c r="N8" t="n">
        <v>49</v>
      </c>
      <c r="O8" t="inlineStr">
        <is>
          <t>Здоровье</t>
        </is>
      </c>
      <c r="P8"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t="n">
        <v>32700</v>
      </c>
      <c r="M9" t="n">
        <v>20</v>
      </c>
      <c r="N9" t="n">
        <v>52</v>
      </c>
      <c r="O9" t="inlineStr">
        <is>
          <t>Здоровье</t>
        </is>
      </c>
      <c r="P9"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t="n">
        <v>42700</v>
      </c>
      <c r="M10" t="n">
        <v>63</v>
      </c>
      <c r="N10" t="n">
        <v>47</v>
      </c>
      <c r="O10" t="inlineStr">
        <is>
          <t>Здоровье</t>
        </is>
      </c>
      <c r="P1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t="n">
        <v>6570</v>
      </c>
      <c r="M11" t="n">
        <v>34</v>
      </c>
      <c r="N11" t="n">
        <v>43</v>
      </c>
      <c r="O11" t="inlineStr">
        <is>
          <t>Здоровье</t>
        </is>
      </c>
      <c r="P11"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t="n">
        <v>11000</v>
      </c>
      <c r="M12" t="n">
        <v>58</v>
      </c>
      <c r="N12" t="n">
        <v>78</v>
      </c>
      <c r="O12" t="inlineStr">
        <is>
          <t>Здоровье</t>
        </is>
      </c>
      <c r="P12"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t="n">
        <v>14700</v>
      </c>
      <c r="M13" t="n">
        <v>35</v>
      </c>
      <c r="N13" t="n">
        <v>46</v>
      </c>
      <c r="O13" t="inlineStr">
        <is>
          <t>Здоровье</t>
        </is>
      </c>
      <c r="P13"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t="n">
        <v>9880</v>
      </c>
      <c r="M14" t="n">
        <v>23</v>
      </c>
      <c r="N14" t="n">
        <v>45</v>
      </c>
      <c r="O14" t="inlineStr">
        <is>
          <t>Здоровье</t>
        </is>
      </c>
      <c r="P14"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t="n">
        <v>29300</v>
      </c>
      <c r="M15" t="n">
        <v>4</v>
      </c>
      <c r="N15" t="n">
        <v>58</v>
      </c>
      <c r="O15" t="inlineStr">
        <is>
          <t>Здоровье</t>
        </is>
      </c>
      <c r="P15"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t="n">
        <v>37000</v>
      </c>
      <c r="M16" t="n">
        <v>17</v>
      </c>
      <c r="N16" t="n">
        <v>59</v>
      </c>
      <c r="O16" t="inlineStr">
        <is>
          <t>Здоровье</t>
        </is>
      </c>
      <c r="P16"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t="n">
        <v>24800</v>
      </c>
      <c r="M17" t="n">
        <v>78</v>
      </c>
      <c r="N17" t="n">
        <v>47</v>
      </c>
      <c r="O17" t="inlineStr">
        <is>
          <t>Здоровье</t>
        </is>
      </c>
      <c r="P17"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t="n">
        <v>14700</v>
      </c>
      <c r="M18" t="n">
        <v>60</v>
      </c>
      <c r="N18" t="n">
        <v>48</v>
      </c>
      <c r="O18" t="inlineStr">
        <is>
          <t>Здоровье</t>
        </is>
      </c>
      <c r="P18"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t="n">
        <v>7240</v>
      </c>
      <c r="M19" t="n">
        <v>62</v>
      </c>
      <c r="N19" t="n">
        <v>53</v>
      </c>
      <c r="O19" t="inlineStr">
        <is>
          <t>Здоровье</t>
        </is>
      </c>
      <c r="P19"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t="n">
        <v>6880</v>
      </c>
      <c r="M20" t="n">
        <v>60</v>
      </c>
      <c r="N20" t="n">
        <v>28</v>
      </c>
      <c r="O20" t="inlineStr">
        <is>
          <t>Здоровье</t>
        </is>
      </c>
      <c r="P2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t="n">
        <v>11600</v>
      </c>
      <c r="M21" t="n">
        <v>51</v>
      </c>
      <c r="N21" t="n">
        <v>38</v>
      </c>
      <c r="O21" t="inlineStr">
        <is>
          <t>Здоровье</t>
        </is>
      </c>
      <c r="P21" t="inlineStr">
        <is>
          <t>31.05.2026</t>
        </is>
      </c>
    </row>
    <row r="22">
      <c r="A22" s="0" t="inlineStr">
        <is>
          <t>reiginmed.ru</t>
        </is>
      </c>
      <c r="B22" s="0" t="n">
        <v>0</v>
      </c>
      <c r="D22" s="0" t="n">
        <v>0</v>
      </c>
      <c r="E22" s="0" t="n">
        <v>0</v>
      </c>
      <c r="F22" s="0" t="n">
        <v>0</v>
      </c>
      <c r="I22" s="0" t="n">
        <v>0</v>
      </c>
      <c r="J22" s="0" t="n">
        <v>5</v>
      </c>
      <c r="K22" s="0" t="n">
        <v>0</v>
      </c>
      <c r="O22" t="inlineStr">
        <is>
          <t>-</t>
        </is>
      </c>
      <c r="P22"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2026-09-30T20:43:05Z</dcterms:modified>
</cp:coreProperties>
</file>