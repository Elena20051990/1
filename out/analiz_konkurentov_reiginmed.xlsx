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Описание метрик" sheetId="3" state="visible" r:id="rId3"/>
    <sheet name="Сводная таблица лидеров" sheetId="4" state="visible" r:id="rId4"/>
    <sheet name="Инструкция" sheetId="5" state="visible" r:id="rId5"/>
    <sheet name="Технический лист" sheetId="6" state="hidden" r:id="rId6"/>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0"/>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4">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5.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c r="F2" s="34" t="n"/>
      <c r="G2" s="35" t="n"/>
      <c r="H2" s="36" t="n"/>
      <c r="I2" s="37" t="n"/>
      <c r="J2" s="38" t="n"/>
      <c r="K2" s="131" t="n"/>
      <c r="L2" s="40" t="n"/>
      <c r="M2" s="41" t="n"/>
      <c r="N2" s="42" t="n">
        <v>34000</v>
      </c>
      <c r="O2" s="255" t="n">
        <v>139372</v>
      </c>
      <c r="P2" s="44" t="n"/>
      <c r="Q2" s="311" t="n"/>
      <c r="R2" s="46">
        <f>IFERROR(N2/O2,"")</f>
        <v/>
      </c>
      <c r="S2" s="46">
        <f>IFERROR(P2/Q2,"")</f>
        <v/>
      </c>
      <c r="T2" s="47" t="n"/>
      <c r="U2" s="48" t="n"/>
      <c r="V2" s="49">
        <f>IFERROR(U2/T2,"")</f>
        <v/>
      </c>
      <c r="W2" s="50" t="n"/>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c r="F3" s="34" t="n"/>
      <c r="G3" s="35" t="n"/>
      <c r="H3" s="36" t="n"/>
      <c r="I3" s="37" t="n"/>
      <c r="J3" s="38" t="n"/>
      <c r="K3" s="131" t="n"/>
      <c r="L3" s="40" t="n"/>
      <c r="M3" s="41" t="n"/>
      <c r="N3" s="42" t="n">
        <v>12027</v>
      </c>
      <c r="O3" s="255" t="n">
        <v>42378</v>
      </c>
      <c r="P3" s="44" t="n"/>
      <c r="Q3" s="311" t="n"/>
      <c r="R3" s="46">
        <f>IFERROR(N3/O3,"")</f>
        <v/>
      </c>
      <c r="S3" s="46">
        <f>IFERROR(P3/Q3,"")</f>
        <v/>
      </c>
      <c r="T3" s="47" t="n"/>
      <c r="U3" s="48" t="n"/>
      <c r="V3" s="49">
        <f>IFERROR(U3/T3,"")</f>
        <v/>
      </c>
      <c r="W3" s="50" t="n"/>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c r="F4" s="34" t="n"/>
      <c r="G4" s="35" t="n"/>
      <c r="H4" s="36" t="n"/>
      <c r="I4" s="37" t="n"/>
      <c r="J4" s="38" t="n"/>
      <c r="K4" s="131" t="n"/>
      <c r="L4" s="40" t="n"/>
      <c r="M4" s="41" t="n"/>
      <c r="N4" s="42" t="n">
        <v>8912</v>
      </c>
      <c r="O4" s="255" t="n">
        <v>17944</v>
      </c>
      <c r="P4" s="44" t="n"/>
      <c r="Q4" s="311" t="n"/>
      <c r="R4" s="46">
        <f>IFERROR(N4/O4,"")</f>
        <v/>
      </c>
      <c r="S4" s="46">
        <f>IFERROR(P4/Q4,"")</f>
        <v/>
      </c>
      <c r="T4" s="47" t="n"/>
      <c r="U4" s="48" t="n"/>
      <c r="V4" s="49">
        <f>IFERROR(U4/T4,"")</f>
        <v/>
      </c>
      <c r="W4" s="50" t="n"/>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c r="F5" s="34" t="n"/>
      <c r="G5" s="35" t="n"/>
      <c r="H5" s="36" t="n"/>
      <c r="I5" s="37" t="n"/>
      <c r="J5" s="38" t="n"/>
      <c r="K5" s="131" t="n"/>
      <c r="L5" s="40" t="n"/>
      <c r="M5" s="41" t="n"/>
      <c r="N5" s="42" t="n">
        <v>6795</v>
      </c>
      <c r="O5" s="255" t="n">
        <v>80522</v>
      </c>
      <c r="P5" s="44" t="n"/>
      <c r="Q5" s="311" t="n"/>
      <c r="R5" s="46">
        <f>IFERROR(N5/O5,"")</f>
        <v/>
      </c>
      <c r="S5" s="46">
        <f>IFERROR(P5/Q5,"")</f>
        <v/>
      </c>
      <c r="T5" s="47" t="n"/>
      <c r="U5" s="48" t="n"/>
      <c r="V5" s="49">
        <f>IFERROR(U5/T5,"")</f>
        <v/>
      </c>
      <c r="W5" s="50" t="n"/>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c r="F6" s="34" t="n"/>
      <c r="G6" s="35" t="n"/>
      <c r="H6" s="36" t="n"/>
      <c r="I6" s="37" t="n"/>
      <c r="J6" s="38" t="n"/>
      <c r="K6" s="131" t="n"/>
      <c r="L6" s="40" t="n"/>
      <c r="M6" s="41" t="n"/>
      <c r="N6" s="42" t="n">
        <v>6373</v>
      </c>
      <c r="O6" s="255" t="n">
        <v>24331</v>
      </c>
      <c r="P6" s="44" t="n"/>
      <c r="Q6" s="311" t="n"/>
      <c r="R6" s="46">
        <f>IFERROR(N6/O6,"")</f>
        <v/>
      </c>
      <c r="S6" s="46">
        <f>IFERROR(P6/Q6,"")</f>
        <v/>
      </c>
      <c r="T6" s="47" t="n"/>
      <c r="U6" s="48" t="n"/>
      <c r="V6" s="49">
        <f>IFERROR(U6/T6,"")</f>
        <v/>
      </c>
      <c r="W6" s="50" t="n"/>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c r="F7" s="34" t="n"/>
      <c r="G7" s="35" t="n"/>
      <c r="H7" s="36" t="n"/>
      <c r="I7" s="37" t="n"/>
      <c r="J7" s="38" t="n"/>
      <c r="K7" s="131" t="n"/>
      <c r="L7" s="40" t="n"/>
      <c r="M7" s="41" t="n"/>
      <c r="N7" s="42" t="n">
        <v>6043</v>
      </c>
      <c r="O7" s="255" t="n">
        <v>19713</v>
      </c>
      <c r="P7" s="44" t="n"/>
      <c r="Q7" s="311" t="n"/>
      <c r="R7" s="46">
        <f>IFERROR(N7/O7,"")</f>
        <v/>
      </c>
      <c r="S7" s="46">
        <f>IFERROR(P7/Q7,"")</f>
        <v/>
      </c>
      <c r="T7" s="47" t="n"/>
      <c r="U7" s="48" t="n"/>
      <c r="V7" s="49">
        <f>IFERROR(U7/T7,"")</f>
        <v/>
      </c>
      <c r="W7" s="50" t="n"/>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c r="F8" s="34" t="n"/>
      <c r="G8" s="35" t="n"/>
      <c r="H8" s="36" t="n"/>
      <c r="I8" s="37" t="n"/>
      <c r="J8" s="38" t="n"/>
      <c r="K8" s="131" t="n"/>
      <c r="L8" s="40" t="n"/>
      <c r="M8" s="41" t="n"/>
      <c r="N8" s="42" t="n">
        <v>4514</v>
      </c>
      <c r="O8" s="255" t="n">
        <v>17901</v>
      </c>
      <c r="P8" s="44" t="n"/>
      <c r="Q8" s="311" t="n"/>
      <c r="R8" s="46">
        <f>IFERROR(N8/O8,"")</f>
        <v/>
      </c>
      <c r="S8" s="46">
        <f>IFERROR(P8/Q8,"")</f>
        <v/>
      </c>
      <c r="T8" s="47" t="n"/>
      <c r="U8" s="48" t="n"/>
      <c r="V8" s="49">
        <f>IFERROR(U8/T8,"")</f>
        <v/>
      </c>
      <c r="W8" s="50" t="n"/>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c r="F9" s="34" t="n"/>
      <c r="G9" s="35" t="n"/>
      <c r="H9" s="36" t="n"/>
      <c r="I9" s="37" t="n"/>
      <c r="J9" s="38" t="n"/>
      <c r="K9" s="131" t="n"/>
      <c r="L9" s="40" t="n"/>
      <c r="M9" s="41" t="n"/>
      <c r="N9" s="42" t="n">
        <v>2687</v>
      </c>
      <c r="O9" s="255" t="n">
        <v>18562</v>
      </c>
      <c r="P9" s="44" t="n"/>
      <c r="Q9" s="311" t="n"/>
      <c r="R9" s="46">
        <f>IFERROR(N9/O9,"")</f>
        <v/>
      </c>
      <c r="S9" s="46">
        <f>IFERROR(P9/Q9,"")</f>
        <v/>
      </c>
      <c r="T9" s="47" t="n"/>
      <c r="U9" s="48" t="n"/>
      <c r="V9" s="49">
        <f>IFERROR(U9/T9,"")</f>
        <v/>
      </c>
      <c r="W9" s="50" t="n"/>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c r="F10" s="34" t="n"/>
      <c r="G10" s="35" t="n"/>
      <c r="H10" s="36" t="n"/>
      <c r="I10" s="37" t="n"/>
      <c r="J10" s="38" t="n"/>
      <c r="K10" s="131" t="n"/>
      <c r="L10" s="40" t="n"/>
      <c r="M10" s="41" t="n"/>
      <c r="N10" s="42" t="n">
        <v>2671</v>
      </c>
      <c r="O10" s="255" t="n">
        <v>39793</v>
      </c>
      <c r="P10" s="44" t="n"/>
      <c r="Q10" s="311" t="n"/>
      <c r="R10" s="46">
        <f>IFERROR(N10/O10,"")</f>
        <v/>
      </c>
      <c r="S10" s="46">
        <f>IFERROR(P10/Q10,"")</f>
        <v/>
      </c>
      <c r="T10" s="47" t="n"/>
      <c r="U10" s="48" t="n"/>
      <c r="V10" s="49">
        <f>IFERROR(U10/T10,"")</f>
        <v/>
      </c>
      <c r="W10" s="50" t="n"/>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c r="F11" s="34" t="n"/>
      <c r="G11" s="35" t="n"/>
      <c r="H11" s="36" t="n"/>
      <c r="I11" s="37" t="n"/>
      <c r="J11" s="38" t="n"/>
      <c r="K11" s="131" t="n"/>
      <c r="L11" s="40" t="n"/>
      <c r="M11" s="41" t="n"/>
      <c r="N11" s="42" t="n">
        <v>2595</v>
      </c>
      <c r="O11" s="255" t="n">
        <v>12635</v>
      </c>
      <c r="P11" s="44" t="n"/>
      <c r="Q11" s="311" t="n"/>
      <c r="R11" s="46">
        <f>IFERROR(N11/O11,"")</f>
        <v/>
      </c>
      <c r="S11" s="46">
        <f>IFERROR(P11/Q11,"")</f>
        <v/>
      </c>
      <c r="T11" s="47" t="n"/>
      <c r="U11" s="48" t="n"/>
      <c r="V11" s="49">
        <f>IFERROR(U11/T11,"")</f>
        <v/>
      </c>
      <c r="W11" s="50" t="n"/>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c r="F12" s="34" t="n"/>
      <c r="G12" s="35" t="n"/>
      <c r="H12" s="36" t="n"/>
      <c r="I12" s="37" t="n"/>
      <c r="J12" s="38" t="n"/>
      <c r="K12" s="131" t="n"/>
      <c r="L12" s="40" t="n"/>
      <c r="M12" s="41" t="n"/>
      <c r="N12" s="42" t="n">
        <v>2067</v>
      </c>
      <c r="O12" s="255" t="n">
        <v>17494</v>
      </c>
      <c r="P12" s="44" t="n"/>
      <c r="Q12" s="311" t="n"/>
      <c r="R12" s="46">
        <f>IFERROR(N12/O12,"")</f>
        <v/>
      </c>
      <c r="S12" s="46">
        <f>IFERROR(P12/Q12,"")</f>
        <v/>
      </c>
      <c r="T12" s="47" t="n"/>
      <c r="U12" s="48" t="n"/>
      <c r="V12" s="49">
        <f>IFERROR(U12/T12,"")</f>
        <v/>
      </c>
      <c r="W12" s="50" t="n"/>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c r="F13" s="34" t="n"/>
      <c r="G13" s="35" t="n"/>
      <c r="H13" s="36" t="n"/>
      <c r="I13" s="37" t="n"/>
      <c r="J13" s="38" t="n"/>
      <c r="K13" s="131" t="n"/>
      <c r="L13" s="40" t="n"/>
      <c r="M13" s="41" t="n"/>
      <c r="N13" s="42" t="n">
        <v>1973</v>
      </c>
      <c r="O13" s="255" t="n">
        <v>19233</v>
      </c>
      <c r="P13" s="44" t="n"/>
      <c r="Q13" s="311" t="n"/>
      <c r="R13" s="46">
        <f>IFERROR(N13/O13,"")</f>
        <v/>
      </c>
      <c r="S13" s="46">
        <f>IFERROR(P13/Q13,"")</f>
        <v/>
      </c>
      <c r="T13" s="47" t="n"/>
      <c r="U13" s="48" t="n"/>
      <c r="V13" s="49">
        <f>IFERROR(U13/T13,"")</f>
        <v/>
      </c>
      <c r="W13" s="50" t="n"/>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c r="F14" s="34" t="n"/>
      <c r="G14" s="35" t="n"/>
      <c r="H14" s="36" t="n"/>
      <c r="I14" s="37" t="n"/>
      <c r="J14" s="38" t="n"/>
      <c r="K14" s="131" t="n"/>
      <c r="L14" s="40" t="n"/>
      <c r="M14" s="41" t="n"/>
      <c r="N14" s="42" t="n">
        <v>1826</v>
      </c>
      <c r="O14" s="255" t="n">
        <v>16120</v>
      </c>
      <c r="P14" s="44" t="n"/>
      <c r="Q14" s="311" t="n"/>
      <c r="R14" s="46">
        <f>IFERROR(N14/O14,"")</f>
        <v/>
      </c>
      <c r="S14" s="46">
        <f>IFERROR(P14/Q14,"")</f>
        <v/>
      </c>
      <c r="T14" s="47" t="n"/>
      <c r="U14" s="48" t="n"/>
      <c r="V14" s="49">
        <f>IFERROR(U14/T14,"")</f>
        <v/>
      </c>
      <c r="W14" s="50" t="n"/>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c r="F15" s="34" t="n"/>
      <c r="G15" s="35" t="n"/>
      <c r="H15" s="36" t="n"/>
      <c r="I15" s="37" t="n"/>
      <c r="J15" s="38" t="n"/>
      <c r="K15" s="131" t="n"/>
      <c r="L15" s="40" t="n"/>
      <c r="M15" s="41" t="n"/>
      <c r="N15" s="42" t="n">
        <v>1795</v>
      </c>
      <c r="O15" s="255" t="n">
        <v>31655</v>
      </c>
      <c r="P15" s="44" t="n"/>
      <c r="Q15" s="311" t="n"/>
      <c r="R15" s="46">
        <f>IFERROR(N15/O15,"")</f>
        <v/>
      </c>
      <c r="S15" s="46">
        <f>IFERROR(P15/Q15,"")</f>
        <v/>
      </c>
      <c r="T15" s="47" t="n"/>
      <c r="U15" s="48" t="n"/>
      <c r="V15" s="49">
        <f>IFERROR(U15/T15,"")</f>
        <v/>
      </c>
      <c r="W15" s="50" t="n"/>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c r="F16" s="34" t="n"/>
      <c r="G16" s="35" t="n"/>
      <c r="H16" s="36" t="n"/>
      <c r="I16" s="37" t="n"/>
      <c r="J16" s="38" t="n"/>
      <c r="K16" s="131" t="n"/>
      <c r="L16" s="40" t="n"/>
      <c r="M16" s="41" t="n"/>
      <c r="N16" s="42" t="n">
        <v>1753</v>
      </c>
      <c r="O16" s="255" t="n">
        <v>14459</v>
      </c>
      <c r="P16" s="44" t="n"/>
      <c r="Q16" s="311" t="n"/>
      <c r="R16" s="46">
        <f>IFERROR(N16/O16,"")</f>
        <v/>
      </c>
      <c r="S16" s="46">
        <f>IFERROR(P16/Q16,"")</f>
        <v/>
      </c>
      <c r="T16" s="47" t="n"/>
      <c r="U16" s="48" t="n"/>
      <c r="V16" s="49">
        <f>IFERROR(U16/T16,"")</f>
        <v/>
      </c>
      <c r="W16" s="50" t="n"/>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c r="F17" s="34" t="n"/>
      <c r="G17" s="35" t="n"/>
      <c r="H17" s="36" t="n"/>
      <c r="I17" s="37" t="n"/>
      <c r="J17" s="38" t="n"/>
      <c r="K17" s="131" t="n"/>
      <c r="L17" s="40" t="n"/>
      <c r="M17" s="41" t="n"/>
      <c r="N17" s="42" t="n">
        <v>1209</v>
      </c>
      <c r="O17" s="255" t="n">
        <v>8364</v>
      </c>
      <c r="P17" s="44" t="n"/>
      <c r="Q17" s="311" t="n"/>
      <c r="R17" s="46">
        <f>IFERROR(N17/O17,"")</f>
        <v/>
      </c>
      <c r="S17" s="46">
        <f>IFERROR(P17/Q17,"")</f>
        <v/>
      </c>
      <c r="T17" s="47" t="n"/>
      <c r="U17" s="48" t="n"/>
      <c r="V17" s="49">
        <f>IFERROR(U17/T17,"")</f>
        <v/>
      </c>
      <c r="W17" s="50" t="n"/>
      <c r="X17" s="262" t="inlineStr">
        <is>
          <t>Слабый конкурент</t>
        </is>
      </c>
    </row>
    <row r="18">
      <c r="A18" s="26">
        <f>IMAGE(C18)</f>
        <v/>
      </c>
      <c r="B18" s="28" t="inlineStr">
        <is>
          <t>https://ambimed.ru/</t>
        </is>
      </c>
      <c r="C18" s="31">
        <f>"https://www.google.com/s2/favicons?domain="&amp;B18</f>
        <v/>
      </c>
      <c r="D18" s="31">
        <f>"https://a.pr-cy.ru/"&amp;IF(ISERROR(FIND("//www.",B18)),MID(B18,FIND(":",B18,4)+3,FIND("/",B18,9)-FIND(":",B18,4)-3),MID(B18,FIND(":",B18,4)+7,FIND("/",B18,9)-FIND(":",B18,4)-7))&amp;"/"</f>
        <v/>
      </c>
      <c r="E18" s="33" t="n"/>
      <c r="F18" s="34" t="n"/>
      <c r="G18" s="35" t="n"/>
      <c r="H18" s="36" t="n"/>
      <c r="I18" s="37" t="n"/>
      <c r="J18" s="38" t="n"/>
      <c r="K18" s="131" t="n"/>
      <c r="L18" s="40" t="n"/>
      <c r="M18" s="41" t="n"/>
      <c r="N18" s="42" t="n">
        <v>1194</v>
      </c>
      <c r="O18" s="255" t="n">
        <v>21325</v>
      </c>
      <c r="P18" s="44" t="n"/>
      <c r="Q18" s="311" t="n"/>
      <c r="R18" s="46">
        <f>IFERROR(N18/O18,"")</f>
        <v/>
      </c>
      <c r="S18" s="46">
        <f>IFERROR(P18/Q18,"")</f>
        <v/>
      </c>
      <c r="T18" s="47" t="n"/>
      <c r="U18" s="48" t="n"/>
      <c r="V18" s="49">
        <f>IFERROR(U18/T18,"")</f>
        <v/>
      </c>
      <c r="W18" s="50" t="n"/>
      <c r="X18" s="262" t="inlineStr">
        <is>
          <t>Слабый конкурент</t>
        </is>
      </c>
    </row>
    <row r="19">
      <c r="A19" s="26">
        <f>IMAGE(C19)</f>
        <v/>
      </c>
      <c r="B19" s="28" t="inlineStr">
        <is>
          <t>https://eurosmed.ru/</t>
        </is>
      </c>
      <c r="C19" s="31">
        <f>"https://www.google.com/s2/favicons?domain="&amp;B19</f>
        <v/>
      </c>
      <c r="D19" s="31">
        <f>"https://a.pr-cy.ru/"&amp;IF(ISERROR(FIND("//www.",B19)),MID(B19,FIND(":",B19,4)+3,FIND("/",B19,9)-FIND(":",B19,4)-3),MID(B19,FIND(":",B19,4)+7,FIND("/",B19,9)-FIND(":",B19,4)-7))&amp;"/"</f>
        <v/>
      </c>
      <c r="E19" s="33" t="n"/>
      <c r="F19" s="34" t="n"/>
      <c r="G19" s="35" t="n"/>
      <c r="H19" s="36" t="n"/>
      <c r="I19" s="37" t="n"/>
      <c r="J19" s="38" t="n"/>
      <c r="K19" s="131" t="n"/>
      <c r="L19" s="40" t="n"/>
      <c r="M19" s="41" t="n"/>
      <c r="N19" s="42" t="n">
        <v>971</v>
      </c>
      <c r="O19" s="255" t="n">
        <v>17394</v>
      </c>
      <c r="P19" s="44" t="n"/>
      <c r="Q19" s="311" t="n"/>
      <c r="R19" s="46">
        <f>IFERROR(N19/O19,"")</f>
        <v/>
      </c>
      <c r="S19" s="46">
        <f>IFERROR(P19/Q19,"")</f>
        <v/>
      </c>
      <c r="T19" s="47" t="n"/>
      <c r="U19" s="48" t="n"/>
      <c r="V19" s="49">
        <f>IFERROR(U19/T19,"")</f>
        <v/>
      </c>
      <c r="W19" s="50" t="n"/>
      <c r="X19" s="262" t="inlineStr">
        <is>
          <t>Слабый конкурент</t>
        </is>
      </c>
    </row>
    <row r="20">
      <c r="A20" s="26">
        <f>IMAGE(C20)</f>
        <v/>
      </c>
      <c r="B20" s="28" t="inlineStr">
        <is>
          <t>https://intelmed.ru/</t>
        </is>
      </c>
      <c r="C20" s="31">
        <f>"https://www.google.com/s2/favicons?domain="&amp;B20</f>
        <v/>
      </c>
      <c r="D20" s="31">
        <f>"https://a.pr-cy.ru/"&amp;IF(ISERROR(FIND("//www.",B20)),MID(B20,FIND(":",B20,4)+3,FIND("/",B20,9)-FIND(":",B20,4)-3),MID(B20,FIND(":",B20,4)+7,FIND("/",B20,9)-FIND(":",B20,4)-7))&amp;"/"</f>
        <v/>
      </c>
      <c r="E20" s="33" t="n"/>
      <c r="F20" s="34" t="n"/>
      <c r="G20" s="35" t="n"/>
      <c r="H20" s="36" t="n"/>
      <c r="I20" s="37" t="n"/>
      <c r="J20" s="38" t="n"/>
      <c r="K20" s="131" t="n"/>
      <c r="L20" s="40" t="n"/>
      <c r="M20" s="41" t="n"/>
      <c r="N20" s="42" t="n"/>
      <c r="O20" s="255" t="n"/>
      <c r="P20" s="44" t="n"/>
      <c r="Q20" s="311" t="n"/>
      <c r="R20" s="46">
        <f>IFERROR(N20/O20,"")</f>
        <v/>
      </c>
      <c r="S20" s="46">
        <f>IFERROR(P20/Q20,"")</f>
        <v/>
      </c>
      <c r="T20" s="47" t="n"/>
      <c r="U20" s="48" t="n"/>
      <c r="V20" s="49">
        <f>IFERROR(U20/T20,"")</f>
        <v/>
      </c>
      <c r="W20" s="50" t="n"/>
      <c r="X20" s="262" t="inlineStr">
        <is>
          <t>Более широкий конкурент</t>
        </is>
      </c>
    </row>
    <row r="21">
      <c r="A21" s="26">
        <f>IMAGE(C21)</f>
        <v/>
      </c>
      <c r="B21" s="28" t="inlineStr">
        <is>
          <t>https://kriptomed.ru/</t>
        </is>
      </c>
      <c r="C21" s="31">
        <f>"https://www.google.com/s2/favicons?domain="&amp;B21</f>
        <v/>
      </c>
      <c r="D21" s="31">
        <f>"https://a.pr-cy.ru/"&amp;IF(ISERROR(FIND("//www.",B21)),MID(B21,FIND(":",B21,4)+3,FIND("/",B21,9)-FIND(":",B21,4)-3),MID(B21,FIND(":",B21,4)+7,FIND("/",B21,9)-FIND(":",B21,4)-7))&amp;"/"</f>
        <v/>
      </c>
      <c r="E21" s="33" t="n"/>
      <c r="F21" s="34" t="n"/>
      <c r="G21" s="35" t="n"/>
      <c r="H21" s="36" t="n"/>
      <c r="I21" s="37" t="n"/>
      <c r="J21" s="38" t="n"/>
      <c r="K21" s="131" t="n"/>
      <c r="L21" s="40" t="n"/>
      <c r="M21" s="41" t="n"/>
      <c r="N21" s="42" t="n"/>
      <c r="O21" s="255" t="n"/>
      <c r="P21" s="44" t="n"/>
      <c r="Q21" s="311" t="n"/>
      <c r="R21" s="46">
        <f>IFERROR(N21/O21,"")</f>
        <v/>
      </c>
      <c r="S21" s="46">
        <f>IFERROR(P21/Q21,"")</f>
        <v/>
      </c>
      <c r="T21" s="47" t="n"/>
      <c r="U21" s="48" t="n"/>
      <c r="V21" s="49">
        <f>IFERROR(U21/T21,"")</f>
        <v/>
      </c>
      <c r="W21" s="50" t="n"/>
      <c r="X21" s="262" t="inlineStr">
        <is>
          <t>Более широкий конкурент</t>
        </is>
      </c>
    </row>
    <row r="22">
      <c r="A22" s="26">
        <f>IMAGE(C22)</f>
        <v/>
      </c>
      <c r="B22" s="340" t="inlineStr">
        <is>
          <t>Медиана (по лидерам)</t>
        </is>
      </c>
      <c r="C22" s="340" t="n"/>
      <c r="D22" s="340" t="n"/>
      <c r="E22" s="336">
        <f>IFERROR(MEDIAN(E2:E21),"")</f>
        <v/>
      </c>
      <c r="F22" s="337">
        <f>IFERROR(MEDIAN(F2:F21),"")</f>
        <v/>
      </c>
      <c r="G22" s="337">
        <f>IFERROR(MEDIAN(G2:G21),"")</f>
        <v/>
      </c>
      <c r="H22" s="337">
        <f>IFERROR(MEDIAN(H2:H21),"")</f>
        <v/>
      </c>
      <c r="I22" s="338">
        <f>IFERROR(MEDIAN(I2:I21),"")</f>
        <v/>
      </c>
      <c r="J22" s="337">
        <f>IFERROR(MEDIAN(J2:J21),"")</f>
        <v/>
      </c>
      <c r="K22" s="339" t="n"/>
      <c r="L22" s="337">
        <f>IFERROR(MEDIAN(L2:L21),"")</f>
        <v/>
      </c>
      <c r="M22" s="340" t="n"/>
      <c r="N22" s="337">
        <f t="array" ref="N22">MEDIAN(IF(X2:X21=" Лидер",N2:N21))</f>
        <v/>
      </c>
      <c r="O22" s="337">
        <f t="array" ref="O22">MEDIAN(IF(X2:X21=" Лидер",O2:O21))</f>
        <v/>
      </c>
      <c r="P22" s="337">
        <f>IFERROR(MEDIAN(P2:P21),"")</f>
        <v/>
      </c>
      <c r="Q22" s="337">
        <f>IFERROR(MEDIAN(Q2:Q21),"")</f>
        <v/>
      </c>
      <c r="R22" s="341">
        <f>N22/O22</f>
        <v/>
      </c>
      <c r="S22" s="341">
        <f>IFERROR(MEDIAN(S2:S21),"")</f>
        <v/>
      </c>
      <c r="T22" s="336">
        <f>IFERROR(MEDIAN(T2:T21),"")</f>
        <v/>
      </c>
      <c r="U22" s="337">
        <f>IFERROR(MEDIAN(U2:U21),"")</f>
        <v/>
      </c>
      <c r="V22" s="337">
        <f>IFERROR(MEDIAN(V2:V21),"")</f>
        <v/>
      </c>
      <c r="W22" s="338">
        <f>IFERROR(MEDIAN(W2:W21),"")</f>
        <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c r="F23" s="344" t="n"/>
      <c r="G23" s="345" t="n"/>
      <c r="H23" s="344" t="n"/>
      <c r="I23" s="346" t="n"/>
      <c r="J23" s="348" t="n"/>
      <c r="K23" s="131" t="n"/>
      <c r="L23" s="348" t="n"/>
      <c r="M23" s="131" t="n"/>
      <c r="N23" s="348" t="n"/>
      <c r="O23" s="348" t="n"/>
      <c r="P23" s="348" t="n"/>
      <c r="Q23" s="348" t="n"/>
      <c r="R23" s="46">
        <f>IFERROR(N23/O23,"")</f>
        <v/>
      </c>
      <c r="S23" s="46">
        <f>IFERROR(P23/Q23,"")</f>
        <v/>
      </c>
      <c r="T23" s="349" t="n"/>
      <c r="U23" s="350" t="n"/>
      <c r="V23" s="351">
        <f>IFERROR(U23/T23,"")</f>
        <v/>
      </c>
      <c r="W23" s="352" t="n"/>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t="inlineStr">
        <is>
          <t>dealmed.ru</t>
        </is>
      </c>
      <c r="B2" t="n">
        <v>1</v>
      </c>
      <c r="C2" t="n">
        <v>3</v>
      </c>
      <c r="D2" t="n">
        <v>111</v>
      </c>
      <c r="E2" t="n">
        <v>8095</v>
      </c>
      <c r="F2" t="n">
        <v>34000</v>
      </c>
      <c r="G2" t="n">
        <v>57843</v>
      </c>
      <c r="H2" t="n">
        <v>139372</v>
      </c>
      <c r="I2" t="inlineStr">
        <is>
          <t>https://dealmed.ru/ginekologicheskoe_oborudovanie.html</t>
        </is>
      </c>
    </row>
    <row r="3">
      <c r="A3" t="inlineStr">
        <is>
          <t>medcomp.ru</t>
        </is>
      </c>
      <c r="B3" t="n">
        <v>3</v>
      </c>
      <c r="C3" t="n">
        <v>1</v>
      </c>
      <c r="D3" t="n">
        <v>28</v>
      </c>
      <c r="E3" t="n">
        <v>3014</v>
      </c>
      <c r="F3" t="n">
        <v>12027</v>
      </c>
      <c r="G3" t="n">
        <v>18818</v>
      </c>
      <c r="H3" t="n">
        <v>42378</v>
      </c>
      <c r="I3" t="inlineStr">
        <is>
          <t>https://medcomp.ru/catalog/oborudovanie/akusherstvo-i-ginekologiya</t>
        </is>
      </c>
    </row>
    <row r="4">
      <c r="A4" t="inlineStr">
        <is>
          <t>medliga.ru</t>
        </is>
      </c>
      <c r="B4" t="n">
        <v>2</v>
      </c>
      <c r="C4" t="n">
        <v>1</v>
      </c>
      <c r="D4" t="n">
        <v>19</v>
      </c>
      <c r="E4" t="n">
        <v>4333</v>
      </c>
      <c r="F4" t="n">
        <v>8912</v>
      </c>
      <c r="G4" t="n">
        <v>11043</v>
      </c>
      <c r="H4" t="n">
        <v>17944</v>
      </c>
      <c r="I4" t="inlineStr">
        <is>
          <t>https://medliga.ru/catalog/ginekologiya</t>
        </is>
      </c>
    </row>
    <row r="5">
      <c r="A5" t="inlineStr">
        <is>
          <t>almamed.su</t>
        </is>
      </c>
      <c r="B5" t="n">
        <v>4</v>
      </c>
      <c r="C5" t="n">
        <v>1</v>
      </c>
      <c r="D5" t="n">
        <v>10</v>
      </c>
      <c r="E5" t="n">
        <v>672</v>
      </c>
      <c r="F5" t="n">
        <v>6795</v>
      </c>
      <c r="G5" t="n">
        <v>17379</v>
      </c>
      <c r="H5" t="n">
        <v>80522</v>
      </c>
      <c r="I5" t="inlineStr">
        <is>
          <t>https://almamed.su/category/ginekologiya</t>
        </is>
      </c>
    </row>
    <row r="6">
      <c r="A6" t="inlineStr">
        <is>
          <t>medcub.ru</t>
        </is>
      </c>
      <c r="B6" t="n">
        <v>18</v>
      </c>
      <c r="C6" t="n">
        <v>1</v>
      </c>
      <c r="D6" t="n">
        <v>12</v>
      </c>
      <c r="E6" t="n">
        <v>1297</v>
      </c>
      <c r="F6" t="n">
        <v>6373</v>
      </c>
      <c r="G6" t="n">
        <v>10031</v>
      </c>
      <c r="H6" t="n">
        <v>24331</v>
      </c>
      <c r="I6" t="inlineStr">
        <is>
          <t>https://medcub.ru/catalog/akusherstvo_i_ginekologiya</t>
        </is>
      </c>
    </row>
    <row r="7">
      <c r="A7" t="inlineStr">
        <is>
          <t>global-mt.ru</t>
        </is>
      </c>
      <c r="B7" t="n">
        <v>31</v>
      </c>
      <c r="C7" t="n">
        <v>1</v>
      </c>
      <c r="D7" t="n">
        <v>9</v>
      </c>
      <c r="E7" t="n">
        <v>1361</v>
      </c>
      <c r="F7" t="n">
        <v>6043</v>
      </c>
      <c r="G7" t="n">
        <v>9645</v>
      </c>
      <c r="H7" t="n">
        <v>19713</v>
      </c>
      <c r="I7" t="inlineStr">
        <is>
          <t>https://global-mt.ru/catalog/ginekologiya</t>
        </is>
      </c>
    </row>
    <row r="8">
      <c r="A8" t="inlineStr">
        <is>
          <t>gmk-kiel.ru</t>
        </is>
      </c>
      <c r="B8" t="n">
        <v>6</v>
      </c>
      <c r="C8" t="n">
        <v>1</v>
      </c>
      <c r="D8" t="n">
        <v>9</v>
      </c>
      <c r="E8" t="n">
        <v>907</v>
      </c>
      <c r="F8" t="n">
        <v>4514</v>
      </c>
      <c r="G8" t="n">
        <v>8074</v>
      </c>
      <c r="H8" t="n">
        <v>17901</v>
      </c>
      <c r="I8" t="inlineStr">
        <is>
          <t>https://gmk-kiel.ru/catalog/oborudovanie/akusherstvo-i-ginekologiya</t>
        </is>
      </c>
    </row>
    <row r="9">
      <c r="A9" t="inlineStr">
        <is>
          <t>cordismed.ru</t>
        </is>
      </c>
      <c r="B9" t="n">
        <v>5</v>
      </c>
      <c r="C9" t="n">
        <v>1</v>
      </c>
      <c r="D9" t="n">
        <v>3</v>
      </c>
      <c r="E9" t="n">
        <v>486</v>
      </c>
      <c r="F9" t="n">
        <v>2687</v>
      </c>
      <c r="G9" t="n">
        <v>5627</v>
      </c>
      <c r="H9" t="n">
        <v>18562</v>
      </c>
      <c r="I9" t="inlineStr">
        <is>
          <t>https://cordismed.ru/ginekologiya</t>
        </is>
      </c>
    </row>
    <row r="10">
      <c r="A10" t="inlineStr">
        <is>
          <t>medrk.ru</t>
        </is>
      </c>
      <c r="B10" t="n">
        <v>26</v>
      </c>
      <c r="C10" t="n">
        <v>1</v>
      </c>
      <c r="D10" t="n">
        <v>3</v>
      </c>
      <c r="E10" t="n">
        <v>421</v>
      </c>
      <c r="F10" t="n">
        <v>2671</v>
      </c>
      <c r="G10" t="n">
        <v>6184</v>
      </c>
      <c r="H10" t="n">
        <v>39793</v>
      </c>
      <c r="I10" t="inlineStr">
        <is>
          <t>https://medrk.ru/shop/ginekologiya</t>
        </is>
      </c>
    </row>
    <row r="11">
      <c r="A11" t="inlineStr">
        <is>
          <t>sterimed.ru</t>
        </is>
      </c>
      <c r="B11" t="n">
        <v>10</v>
      </c>
      <c r="C11" t="n">
        <v>1</v>
      </c>
      <c r="D11" t="n">
        <v>5</v>
      </c>
      <c r="E11" t="n">
        <v>282</v>
      </c>
      <c r="F11" t="n">
        <v>2595</v>
      </c>
      <c r="G11" t="n">
        <v>5515</v>
      </c>
      <c r="H11" t="n">
        <v>12635</v>
      </c>
      <c r="I11" t="inlineStr">
        <is>
          <t>https://sterimed.ru/catalog/akusherstvo_i_ginekologiya</t>
        </is>
      </c>
    </row>
    <row r="12">
      <c r="A12" t="inlineStr">
        <is>
          <t>ivlabmed.ru</t>
        </is>
      </c>
      <c r="B12" t="n">
        <v>12</v>
      </c>
      <c r="C12" t="n">
        <v>1</v>
      </c>
      <c r="D12" t="n">
        <v>3</v>
      </c>
      <c r="E12" t="n">
        <v>233</v>
      </c>
      <c r="F12" t="n">
        <v>2067</v>
      </c>
      <c r="G12" t="n">
        <v>5313</v>
      </c>
      <c r="H12" t="n">
        <v>17494</v>
      </c>
      <c r="I12" t="inlineStr">
        <is>
          <t>https://ivlabmed.ru/catalog/ginekologiya</t>
        </is>
      </c>
    </row>
    <row r="13">
      <c r="A13" t="inlineStr">
        <is>
          <t>medbuy.ru</t>
        </is>
      </c>
      <c r="B13" t="n">
        <v>15</v>
      </c>
      <c r="C13" t="n">
        <v>1</v>
      </c>
      <c r="D13" t="n">
        <v>3</v>
      </c>
      <c r="E13" t="n">
        <v>352</v>
      </c>
      <c r="F13" t="n">
        <v>1973</v>
      </c>
      <c r="G13" t="n">
        <v>4266</v>
      </c>
      <c r="H13" t="n">
        <v>19233</v>
      </c>
      <c r="I13" t="inlineStr">
        <is>
          <t>https://medbuy.ru/catalog/akusherskoe-i-ginekologicheskoe-oborudovanie</t>
        </is>
      </c>
    </row>
    <row r="14">
      <c r="A14" t="inlineStr">
        <is>
          <t>medpribor.pro</t>
        </is>
      </c>
      <c r="B14" t="n">
        <v>22</v>
      </c>
      <c r="C14" t="n">
        <v>1</v>
      </c>
      <c r="D14" t="n">
        <v>4</v>
      </c>
      <c r="E14" t="n">
        <v>317</v>
      </c>
      <c r="F14" t="n">
        <v>1826</v>
      </c>
      <c r="G14" t="n">
        <v>3899</v>
      </c>
      <c r="H14" t="n">
        <v>16120</v>
      </c>
      <c r="I14" t="inlineStr">
        <is>
          <t>https://medpribor.pro/pc/lpu/gynecological</t>
        </is>
      </c>
    </row>
    <row r="15">
      <c r="A15" t="inlineStr">
        <is>
          <t>medeq.ru</t>
        </is>
      </c>
      <c r="B15" t="n">
        <v>7</v>
      </c>
      <c r="C15" t="n">
        <v>1</v>
      </c>
      <c r="D15" t="n">
        <v>5</v>
      </c>
      <c r="E15" t="n">
        <v>237</v>
      </c>
      <c r="F15" t="n">
        <v>1795</v>
      </c>
      <c r="G15" t="n">
        <v>5100</v>
      </c>
      <c r="H15" t="n">
        <v>31655</v>
      </c>
      <c r="I15" t="inlineStr">
        <is>
          <t>https://medeq.ru/store/akusherstvo-i-ginekologiya</t>
        </is>
      </c>
    </row>
    <row r="16">
      <c r="A16" t="inlineStr">
        <is>
          <t>farm-invest.ru</t>
        </is>
      </c>
      <c r="B16" t="n">
        <v>16</v>
      </c>
      <c r="C16" t="n">
        <v>1</v>
      </c>
      <c r="D16" t="n">
        <v>2</v>
      </c>
      <c r="E16" t="n">
        <v>274</v>
      </c>
      <c r="F16" t="n">
        <v>1753</v>
      </c>
      <c r="G16" t="n">
        <v>3889</v>
      </c>
      <c r="H16" t="n">
        <v>14459</v>
      </c>
      <c r="I16" t="inlineStr">
        <is>
          <t>https://farm-invest.ru/catalog/akusherstvo-i-ginekologiya</t>
        </is>
      </c>
    </row>
    <row r="17">
      <c r="A17" t="inlineStr">
        <is>
          <t>uromed-m.ru</t>
        </is>
      </c>
      <c r="B17" t="n">
        <v>8</v>
      </c>
      <c r="C17" t="n">
        <v>1</v>
      </c>
      <c r="D17" t="n">
        <v>3</v>
      </c>
      <c r="E17" t="n">
        <v>224</v>
      </c>
      <c r="F17" t="n">
        <v>1209</v>
      </c>
      <c r="G17" t="n">
        <v>2427</v>
      </c>
      <c r="H17" t="n">
        <v>8364</v>
      </c>
      <c r="I17" t="inlineStr">
        <is>
          <t>https://uromed-m.ru/ginekologicheskoe-oborudovanie</t>
        </is>
      </c>
    </row>
    <row r="18">
      <c r="A18" t="inlineStr">
        <is>
          <t>ambimed.ru</t>
        </is>
      </c>
      <c r="B18" t="n">
        <v>17</v>
      </c>
      <c r="C18" t="n">
        <v>1</v>
      </c>
      <c r="D18" t="n">
        <v>3</v>
      </c>
      <c r="E18" t="n">
        <v>170</v>
      </c>
      <c r="F18" t="n">
        <v>1194</v>
      </c>
      <c r="G18" t="n">
        <v>3211</v>
      </c>
      <c r="H18" t="n">
        <v>21325</v>
      </c>
      <c r="I18" t="inlineStr">
        <is>
          <t>https://ambimed.ru/product/akusherstvo-i-ginekologiya</t>
        </is>
      </c>
    </row>
    <row r="19">
      <c r="A19" t="inlineStr">
        <is>
          <t>eurosmed.ru</t>
        </is>
      </c>
      <c r="B19" t="n">
        <v>13</v>
      </c>
      <c r="C19" t="n">
        <v>2</v>
      </c>
      <c r="D19" t="n">
        <v>1</v>
      </c>
      <c r="E19" t="n">
        <v>87</v>
      </c>
      <c r="F19" t="n">
        <v>971</v>
      </c>
      <c r="G19" t="n">
        <v>2980</v>
      </c>
      <c r="H19" t="n">
        <v>17394</v>
      </c>
      <c r="I19" t="inlineStr">
        <is>
          <t>https://eurosmed.ru/catalog/ginekologicheskoe_oborudovanie</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2026-09-30T20:38:24Z</dcterms:created>
  <dcterms:modified xsi:type="dcterms:W3CDTF">2026-09-30T20:38:24Z</dcterms:modified>
</cp:coreProperties>
</file>