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Доп. метрики" sheetId="3" state="visible" r:id="rId3"/>
    <sheet name="Описание метрик" sheetId="4" state="visible" r:id="rId4"/>
    <sheet name="Сводная таблица лидеров" sheetId="5" state="visible" r:id="rId5"/>
    <sheet name="Инструкция" sheetId="6" state="visible" r:id="rId6"/>
    <sheet name="Технический лист" sheetId="7" state="hidden" r:id="rId7"/>
  </sheets>
  <definedNames>
    <definedName name="_xlnm._FilterDatabase" localSheetId="0" hidden="1">'Анализ конкурентов'!$A$1:$V$23</definedName>
  </definedNames>
  <calcPr calcId="124519" fullCalcOnLoad="1"/>
</workbook>
</file>

<file path=xl/styles.xml><?xml version="1.0" encoding="utf-8"?>
<styleSheet xmlns="http://schemas.openxmlformats.org/spreadsheetml/2006/main">
  <numFmts count="1">
    <numFmt numFmtId="164" formatCode="0.0"/>
  </numFmts>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7">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xf numFmtId="164" fontId="6" fillId="5" borderId="0" applyAlignment="1" pivotButton="0" quotePrefix="0" xfId="0">
      <alignment horizontal="center" vertical="bottom"/>
    </xf>
    <xf numFmtId="164" fontId="6" fillId="227" borderId="0" applyAlignment="1" pivotButton="0" quotePrefix="0" xfId="0">
      <alignment horizontal="center" vertical="bottom"/>
    </xf>
    <xf numFmtId="164" fontId="6" fillId="24" borderId="11" applyAlignment="1" pivotButton="0" quotePrefix="0" xfId="0">
      <alignment horizontal="center" vertical="bottom"/>
    </xf>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6.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2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v>44000</v>
      </c>
      <c r="F2" s="34" t="n">
        <v>118000</v>
      </c>
      <c r="G2" s="35" t="n">
        <v>16.1</v>
      </c>
      <c r="H2" s="36" t="n">
        <v>1170</v>
      </c>
      <c r="I2" s="37" t="n">
        <v>82</v>
      </c>
      <c r="J2" s="38" t="n">
        <v>895089</v>
      </c>
      <c r="K2" s="131" t="inlineStr">
        <is>
          <t>Сильный рост</t>
        </is>
      </c>
      <c r="L2" s="40" t="n">
        <v>333910</v>
      </c>
      <c r="M2" s="41" t="inlineStr">
        <is>
          <t>Стагнация</t>
        </is>
      </c>
      <c r="N2" s="42" t="n">
        <v>34000</v>
      </c>
      <c r="O2" s="255" t="n">
        <v>139372</v>
      </c>
      <c r="P2" s="44" t="n">
        <v>12702</v>
      </c>
      <c r="Q2" s="311" t="n">
        <v>82276</v>
      </c>
      <c r="R2" s="46" t="n">
        <v>0.2439514393134919</v>
      </c>
      <c r="S2" s="46" t="n">
        <v>0.1543828090816277</v>
      </c>
      <c r="T2" s="47" t="n">
        <v>632</v>
      </c>
      <c r="U2" s="48" t="n">
        <v>4780</v>
      </c>
      <c r="V2" s="364" t="n">
        <v>7.563291139240507</v>
      </c>
      <c r="W2" s="50" t="n">
        <v>58</v>
      </c>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v>4000</v>
      </c>
      <c r="F3" s="34" t="n">
        <v>27100</v>
      </c>
      <c r="G3" s="35" t="n">
        <v>25.9</v>
      </c>
      <c r="H3" s="36" t="n">
        <v>1170</v>
      </c>
      <c r="I3" s="37" t="n">
        <v>49</v>
      </c>
      <c r="J3" s="38" t="n">
        <v>227153</v>
      </c>
      <c r="K3" s="131" t="inlineStr">
        <is>
          <t>Рост</t>
        </is>
      </c>
      <c r="L3" s="40" t="n">
        <v>532882</v>
      </c>
      <c r="M3" s="41" t="inlineStr">
        <is>
          <t>Падение</t>
        </is>
      </c>
      <c r="N3" s="42" t="n">
        <v>12027</v>
      </c>
      <c r="O3" s="255" t="n">
        <v>42378</v>
      </c>
      <c r="P3" s="44" t="n">
        <v>14364</v>
      </c>
      <c r="Q3" s="311" t="n">
        <v>42983</v>
      </c>
      <c r="R3" s="46" t="n">
        <v>0.2838029166076738</v>
      </c>
      <c r="S3" s="46" t="n">
        <v>0.3341786287602075</v>
      </c>
      <c r="T3" s="47" t="n">
        <v>490</v>
      </c>
      <c r="U3" s="48" t="n">
        <v>8330</v>
      </c>
      <c r="V3" s="364" t="n">
        <v>17</v>
      </c>
      <c r="W3" s="50" t="n">
        <v>33</v>
      </c>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v>36000</v>
      </c>
      <c r="F4" s="34" t="n">
        <v>10200</v>
      </c>
      <c r="G4" s="35" t="n">
        <v>6.3</v>
      </c>
      <c r="H4" s="36" t="n">
        <v>410</v>
      </c>
      <c r="I4" s="37" t="n">
        <v>24</v>
      </c>
      <c r="J4" s="38" t="n">
        <v>150351</v>
      </c>
      <c r="K4" s="131" t="inlineStr">
        <is>
          <t>Рост</t>
        </is>
      </c>
      <c r="L4" s="40" t="n">
        <v>103519</v>
      </c>
      <c r="M4" s="41" t="inlineStr">
        <is>
          <t>Стагнация</t>
        </is>
      </c>
      <c r="N4" s="42" t="n">
        <v>8912</v>
      </c>
      <c r="O4" s="255" t="n">
        <v>17944</v>
      </c>
      <c r="P4" s="44" t="n">
        <v>5014</v>
      </c>
      <c r="Q4" s="311" t="n">
        <v>17355</v>
      </c>
      <c r="R4" s="46" t="n">
        <v>0.4966562639322336</v>
      </c>
      <c r="S4" s="46" t="n">
        <v>0.2889080956496687</v>
      </c>
      <c r="T4" s="47" t="n">
        <v>566</v>
      </c>
      <c r="U4" s="48" t="n">
        <v>23306</v>
      </c>
      <c r="V4" s="364" t="n">
        <v>41.17667844522968</v>
      </c>
      <c r="W4" s="50" t="n">
        <v>35</v>
      </c>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v>35000</v>
      </c>
      <c r="F5" s="34" t="n">
        <v>46700</v>
      </c>
      <c r="G5" s="35" t="n">
        <v>11</v>
      </c>
      <c r="H5" s="36" t="n">
        <v>370</v>
      </c>
      <c r="I5" s="37" t="n">
        <v>22</v>
      </c>
      <c r="J5" s="38" t="n">
        <v>81164</v>
      </c>
      <c r="K5" s="131" t="inlineStr">
        <is>
          <t>Рост</t>
        </is>
      </c>
      <c r="L5" s="40" t="n">
        <v>88676</v>
      </c>
      <c r="M5" s="41" t="inlineStr">
        <is>
          <t>Падение</t>
        </is>
      </c>
      <c r="N5" s="42" t="n">
        <v>6795</v>
      </c>
      <c r="O5" s="255" t="n">
        <v>80522</v>
      </c>
      <c r="P5" s="44" t="n">
        <v>4490</v>
      </c>
      <c r="Q5" s="311" t="n">
        <v>61946</v>
      </c>
      <c r="R5" s="46" t="n">
        <v>0.08438687563647201</v>
      </c>
      <c r="S5" s="46" t="n">
        <v>0.07248248474477771</v>
      </c>
      <c r="T5" s="47" t="n">
        <v>392</v>
      </c>
      <c r="U5" s="48" t="n">
        <v>2986</v>
      </c>
      <c r="V5" s="364" t="n">
        <v>7.61734693877551</v>
      </c>
      <c r="W5" s="50" t="n">
        <v>25</v>
      </c>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v>31000</v>
      </c>
      <c r="F6" s="34" t="n">
        <v>173000</v>
      </c>
      <c r="G6" s="35" t="n">
        <v>4.1</v>
      </c>
      <c r="H6" s="36" t="n">
        <v>300</v>
      </c>
      <c r="I6" s="37" t="n">
        <v>85</v>
      </c>
      <c r="J6" s="38" t="n">
        <v>95974</v>
      </c>
      <c r="K6" s="131" t="inlineStr">
        <is>
          <t>Рост</t>
        </is>
      </c>
      <c r="L6" s="40" t="n">
        <v>21858</v>
      </c>
      <c r="M6" s="41" t="inlineStr">
        <is>
          <t>Рост</t>
        </is>
      </c>
      <c r="N6" s="42" t="n">
        <v>6373</v>
      </c>
      <c r="O6" s="255" t="n">
        <v>24331</v>
      </c>
      <c r="P6" s="44" t="n">
        <v>1403</v>
      </c>
      <c r="Q6" s="311" t="n">
        <v>16059</v>
      </c>
      <c r="R6" s="46" t="n">
        <v>0.2619292260901731</v>
      </c>
      <c r="S6" s="46" t="n">
        <v>0.08736534030761567</v>
      </c>
      <c r="T6" s="47" t="n">
        <v>79</v>
      </c>
      <c r="U6" s="48" t="n">
        <v>394</v>
      </c>
      <c r="V6" s="364" t="n">
        <v>4.987341772151899</v>
      </c>
      <c r="W6" s="50" t="n">
        <v>5</v>
      </c>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v>12000</v>
      </c>
      <c r="F7" s="34" t="n">
        <v>10400</v>
      </c>
      <c r="G7" s="35" t="n">
        <v>10.1</v>
      </c>
      <c r="H7" s="36" t="n">
        <v>240</v>
      </c>
      <c r="I7" s="37" t="n">
        <v>1</v>
      </c>
      <c r="J7" s="38" t="n">
        <v>70465</v>
      </c>
      <c r="K7" s="131" t="inlineStr">
        <is>
          <t>Рост</t>
        </is>
      </c>
      <c r="L7" s="40" t="n">
        <v>8117</v>
      </c>
      <c r="M7" s="41" t="inlineStr">
        <is>
          <t>Стагнация</t>
        </is>
      </c>
      <c r="N7" s="42" t="n">
        <v>6043</v>
      </c>
      <c r="O7" s="255" t="n">
        <v>19713</v>
      </c>
      <c r="P7" s="44" t="n">
        <v>440</v>
      </c>
      <c r="Q7" s="311" t="n">
        <v>7340</v>
      </c>
      <c r="R7" s="46" t="n">
        <v>0.3065489778318876</v>
      </c>
      <c r="S7" s="46" t="n">
        <v>0.05994550408719346</v>
      </c>
      <c r="T7" s="47" t="n">
        <v>322</v>
      </c>
      <c r="U7" s="48" t="n">
        <v>1962</v>
      </c>
      <c r="V7" s="364" t="n">
        <v>6.093167701863354</v>
      </c>
      <c r="W7" s="50" t="n">
        <v>15</v>
      </c>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v>5000</v>
      </c>
      <c r="F8" s="34" t="n">
        <v>5190</v>
      </c>
      <c r="G8" s="35" t="n">
        <v>6.9</v>
      </c>
      <c r="H8" s="36" t="n">
        <v>170</v>
      </c>
      <c r="I8" s="37" t="n">
        <v>3</v>
      </c>
      <c r="J8" s="38" t="n">
        <v>72336</v>
      </c>
      <c r="K8" s="131" t="inlineStr">
        <is>
          <t>Рост</t>
        </is>
      </c>
      <c r="L8" s="40" t="n">
        <v>29067</v>
      </c>
      <c r="M8" s="41" t="inlineStr">
        <is>
          <t>Стагнация</t>
        </is>
      </c>
      <c r="N8" s="42" t="n">
        <v>4514</v>
      </c>
      <c r="O8" s="255" t="n">
        <v>17901</v>
      </c>
      <c r="P8" s="44" t="n">
        <v>1277</v>
      </c>
      <c r="Q8" s="311" t="n">
        <v>7205</v>
      </c>
      <c r="R8" s="46" t="n">
        <v>0.2521646835372325</v>
      </c>
      <c r="S8" s="46" t="n">
        <v>0.1772380291464261</v>
      </c>
      <c r="T8" s="47" t="n">
        <v>69</v>
      </c>
      <c r="U8" s="48" t="n">
        <v>182</v>
      </c>
      <c r="V8" s="364" t="n">
        <v>2.63768115942029</v>
      </c>
      <c r="W8" s="50" t="n">
        <v>2</v>
      </c>
      <c r="X8" s="64" t="inlineStr">
        <is>
          <t xml:space="preserve"> Тёмная лошадка</t>
        </is>
      </c>
    </row>
    <row r="9">
      <c r="A9" s="26">
        <f>IMAGE(C9)</f>
        <v/>
      </c>
      <c r="B9" s="28" t="inlineStr">
        <is>
          <t>https://cordismed.ru/</t>
        </is>
      </c>
      <c r="C9" s="31">
        <f>"https://www.google.com/s2/favicons?domain="&amp;B9</f>
        <v/>
      </c>
      <c r="D9" s="31">
        <f>"https://a.pr-cy.ru/"&amp;IF(ISERROR(FIND("//www.",B9)),MID(B9,FIND(":",B9,4)+3,FIND("/",B9,9)-FIND(":",B9,4)-3),MID(B9,FIND(":",B9,4)+7,FIND("/",B9,9)-FIND(":",B9,4)-7))&amp;"/"</f>
        <v/>
      </c>
      <c r="E9" s="33" t="n">
        <v>4000</v>
      </c>
      <c r="F9" s="34" t="n">
        <v>5440</v>
      </c>
      <c r="G9" s="35" t="n">
        <v>8.5</v>
      </c>
      <c r="H9" s="36" t="n">
        <v>230</v>
      </c>
      <c r="I9" s="37" t="n">
        <v>3</v>
      </c>
      <c r="J9" s="38" t="n">
        <v>21573</v>
      </c>
      <c r="K9" s="131" t="inlineStr">
        <is>
          <t>Рост</t>
        </is>
      </c>
      <c r="L9" s="40" t="n">
        <v>83848</v>
      </c>
      <c r="M9" s="41" t="inlineStr">
        <is>
          <t>Стагнация</t>
        </is>
      </c>
      <c r="N9" s="42" t="n">
        <v>2687</v>
      </c>
      <c r="O9" s="255" t="n">
        <v>18562</v>
      </c>
      <c r="P9" s="44" t="n">
        <v>3791</v>
      </c>
      <c r="Q9" s="311" t="n">
        <v>22596</v>
      </c>
      <c r="R9" s="46" t="n">
        <v>0.144758107962504</v>
      </c>
      <c r="S9" s="46" t="n">
        <v>0.1677730571782616</v>
      </c>
      <c r="T9" s="47" t="n">
        <v>292</v>
      </c>
      <c r="U9" s="48" t="n">
        <v>2803</v>
      </c>
      <c r="V9" s="364" t="n">
        <v>9.599315068493151</v>
      </c>
      <c r="W9" s="50" t="n">
        <v>22</v>
      </c>
      <c r="X9" s="262" t="inlineStr">
        <is>
          <t xml:space="preserve"> Тёмная лошадка</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v>12000</v>
      </c>
      <c r="F10" s="34" t="n">
        <v>12600</v>
      </c>
      <c r="G10" s="35" t="n">
        <v>23.8</v>
      </c>
      <c r="H10" s="36" t="n">
        <v>430</v>
      </c>
      <c r="I10" s="37" t="n">
        <v>18</v>
      </c>
      <c r="J10" s="38" t="n">
        <v>27185</v>
      </c>
      <c r="K10" s="131" t="inlineStr">
        <is>
          <t>Рост</t>
        </is>
      </c>
      <c r="L10" s="40" t="n">
        <v>107840</v>
      </c>
      <c r="M10" s="41" t="inlineStr">
        <is>
          <t>Стагнация</t>
        </is>
      </c>
      <c r="N10" s="42" t="n">
        <v>2671</v>
      </c>
      <c r="O10" s="255" t="n">
        <v>39793</v>
      </c>
      <c r="P10" s="44" t="n">
        <v>4726</v>
      </c>
      <c r="Q10" s="311" t="n">
        <v>32743</v>
      </c>
      <c r="R10" s="46" t="n">
        <v>0.06712235820370417</v>
      </c>
      <c r="S10" s="46" t="n">
        <v>0.1443361939956632</v>
      </c>
      <c r="T10" s="47" t="n">
        <v>712</v>
      </c>
      <c r="U10" s="48" t="n">
        <v>8628</v>
      </c>
      <c r="V10" s="364" t="n">
        <v>12.11797752808989</v>
      </c>
      <c r="W10" s="50" t="n">
        <v>23</v>
      </c>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v>3000</v>
      </c>
      <c r="F11" s="34" t="n">
        <v>10500</v>
      </c>
      <c r="G11" s="35" t="n">
        <v>19.4</v>
      </c>
      <c r="H11" s="36" t="n">
        <v>330</v>
      </c>
      <c r="I11" s="37" t="n">
        <v>7</v>
      </c>
      <c r="J11" s="38" t="n">
        <v>39613</v>
      </c>
      <c r="K11" s="131" t="inlineStr">
        <is>
          <t>Рост</t>
        </is>
      </c>
      <c r="L11" s="40" t="n">
        <v>13726</v>
      </c>
      <c r="M11" s="41" t="inlineStr">
        <is>
          <t>Падение</t>
        </is>
      </c>
      <c r="N11" s="42" t="n">
        <v>2595</v>
      </c>
      <c r="O11" s="255" t="n">
        <v>12635</v>
      </c>
      <c r="P11" s="44" t="n">
        <v>874</v>
      </c>
      <c r="Q11" s="311" t="n">
        <v>8113</v>
      </c>
      <c r="R11" s="46" t="n">
        <v>0.2053818757419865</v>
      </c>
      <c r="S11" s="46" t="n">
        <v>0.107728337236534</v>
      </c>
      <c r="T11" s="47" t="n">
        <v>107</v>
      </c>
      <c r="U11" s="48" t="n">
        <v>363</v>
      </c>
      <c r="V11" s="364" t="n">
        <v>3.392523364485981</v>
      </c>
      <c r="W11" s="50" t="n">
        <v>21</v>
      </c>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v>21000</v>
      </c>
      <c r="F12" s="34" t="n">
        <v>2960</v>
      </c>
      <c r="G12" s="35" t="n">
        <v>8.800000000000001</v>
      </c>
      <c r="H12" s="36" t="n">
        <v>240</v>
      </c>
      <c r="I12" s="37" t="n">
        <v>2</v>
      </c>
      <c r="J12" s="38" t="n">
        <v>21474</v>
      </c>
      <c r="K12" s="131" t="inlineStr">
        <is>
          <t>Рост</t>
        </is>
      </c>
      <c r="L12" s="40" t="n">
        <v>2035</v>
      </c>
      <c r="M12" s="41" t="inlineStr">
        <is>
          <t>Стагнация</t>
        </is>
      </c>
      <c r="N12" s="42" t="n">
        <v>2067</v>
      </c>
      <c r="O12" s="255" t="n">
        <v>17494</v>
      </c>
      <c r="P12" s="44" t="n">
        <v>151</v>
      </c>
      <c r="Q12" s="311" t="n">
        <v>4310</v>
      </c>
      <c r="R12" s="46" t="n">
        <v>0.1181547959300332</v>
      </c>
      <c r="S12" s="46" t="n">
        <v>0.03503480278422274</v>
      </c>
      <c r="T12" s="47" t="n">
        <v>121</v>
      </c>
      <c r="U12" s="48" t="n">
        <v>248</v>
      </c>
      <c r="V12" s="364" t="n">
        <v>2.049586776859504</v>
      </c>
      <c r="W12" s="50" t="n">
        <v>11</v>
      </c>
      <c r="X12" s="262" t="inlineStr">
        <is>
          <t xml:space="preserve"> Тёмная лошадка</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v>9000</v>
      </c>
      <c r="F13" s="34" t="n">
        <v>7120</v>
      </c>
      <c r="G13" s="35" t="n">
        <v>15.3</v>
      </c>
      <c r="H13" s="36" t="n">
        <v>210</v>
      </c>
      <c r="I13" s="37" t="n">
        <v>23</v>
      </c>
      <c r="J13" s="38" t="n">
        <v>21260</v>
      </c>
      <c r="K13" s="131" t="inlineStr">
        <is>
          <t>Сильный рост</t>
        </is>
      </c>
      <c r="L13" s="40" t="n">
        <v>5156</v>
      </c>
      <c r="M13" s="41" t="inlineStr">
        <is>
          <t>Падение</t>
        </is>
      </c>
      <c r="N13" s="42" t="n">
        <v>1973</v>
      </c>
      <c r="O13" s="255" t="n">
        <v>19233</v>
      </c>
      <c r="P13" s="44" t="n">
        <v>249</v>
      </c>
      <c r="Q13" s="311" t="n">
        <v>6835</v>
      </c>
      <c r="R13" s="46" t="n">
        <v>0.1025841002443717</v>
      </c>
      <c r="S13" s="46" t="n">
        <v>0.03643013899049012</v>
      </c>
      <c r="T13" s="47" t="n">
        <v>262</v>
      </c>
      <c r="U13" s="48" t="n">
        <v>1037</v>
      </c>
      <c r="V13" s="364" t="n">
        <v>3.958015267175572</v>
      </c>
      <c r="W13" s="50" t="n">
        <v>32</v>
      </c>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v>4000</v>
      </c>
      <c r="F14" s="34" t="n">
        <v>4290</v>
      </c>
      <c r="G14" s="35" t="n">
        <v>8.800000000000001</v>
      </c>
      <c r="H14" s="36" t="n">
        <v>320</v>
      </c>
      <c r="I14" s="37" t="n">
        <v>5</v>
      </c>
      <c r="J14" s="38" t="n">
        <v>32260</v>
      </c>
      <c r="K14" s="131" t="inlineStr">
        <is>
          <t>Рост</t>
        </is>
      </c>
      <c r="L14" s="40" t="n">
        <v>33398</v>
      </c>
      <c r="M14" s="41" t="inlineStr">
        <is>
          <t>Падение</t>
        </is>
      </c>
      <c r="N14" s="42" t="n">
        <v>1826</v>
      </c>
      <c r="O14" s="255" t="n">
        <v>16120</v>
      </c>
      <c r="P14" s="44" t="n">
        <v>1321</v>
      </c>
      <c r="Q14" s="311" t="n">
        <v>10167</v>
      </c>
      <c r="R14" s="46" t="n">
        <v>0.1132754342431762</v>
      </c>
      <c r="S14" s="46" t="n">
        <v>0.1299301662240582</v>
      </c>
      <c r="T14" s="47" t="n">
        <v>269</v>
      </c>
      <c r="U14" s="48" t="n">
        <v>1446</v>
      </c>
      <c r="V14" s="364" t="n">
        <v>5.37546468401487</v>
      </c>
      <c r="W14" s="50" t="n">
        <v>56</v>
      </c>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v>13000</v>
      </c>
      <c r="F15" s="34" t="n">
        <v>15300</v>
      </c>
      <c r="G15" s="35" t="n">
        <v>9.9</v>
      </c>
      <c r="H15" s="36" t="n">
        <v>300</v>
      </c>
      <c r="I15" s="37" t="n">
        <v>21</v>
      </c>
      <c r="J15" s="38" t="n">
        <v>37751</v>
      </c>
      <c r="K15" s="131" t="inlineStr">
        <is>
          <t>Рост</t>
        </is>
      </c>
      <c r="L15" s="40" t="n">
        <v>22013</v>
      </c>
      <c r="M15" s="41" t="inlineStr">
        <is>
          <t>Падение</t>
        </is>
      </c>
      <c r="N15" s="42" t="n">
        <v>1795</v>
      </c>
      <c r="O15" s="255" t="n">
        <v>31655</v>
      </c>
      <c r="P15" s="44" t="n">
        <v>1242</v>
      </c>
      <c r="Q15" s="311" t="n">
        <v>15963</v>
      </c>
      <c r="R15" s="46" t="n">
        <v>0.05670510187963987</v>
      </c>
      <c r="S15" s="46" t="n">
        <v>0.07780492388648751</v>
      </c>
      <c r="T15" s="47" t="n">
        <v>256</v>
      </c>
      <c r="U15" s="48" t="n">
        <v>7606</v>
      </c>
      <c r="V15" s="364" t="n">
        <v>29.7109375</v>
      </c>
      <c r="W15" s="50" t="n">
        <v>34</v>
      </c>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v>2000</v>
      </c>
      <c r="F16" s="34" t="n">
        <v>100</v>
      </c>
      <c r="G16" s="35" t="n">
        <v>22.2</v>
      </c>
      <c r="H16" s="36" t="n">
        <v>320</v>
      </c>
      <c r="I16" s="37" t="n">
        <v>4</v>
      </c>
      <c r="J16" s="38" t="n">
        <v>15955</v>
      </c>
      <c r="K16" s="131" t="inlineStr">
        <is>
          <t>Рост</t>
        </is>
      </c>
      <c r="L16" s="40" t="n">
        <v>102730</v>
      </c>
      <c r="M16" s="41" t="inlineStr">
        <is>
          <t>Падение</t>
        </is>
      </c>
      <c r="N16" s="42" t="n">
        <v>1753</v>
      </c>
      <c r="O16" s="255" t="n">
        <v>14459</v>
      </c>
      <c r="P16" s="44" t="n">
        <v>3342</v>
      </c>
      <c r="Q16" s="311" t="n">
        <v>12922</v>
      </c>
      <c r="R16" s="46" t="n">
        <v>0.1212393664845425</v>
      </c>
      <c r="S16" s="46" t="n">
        <v>0.2586286952484135</v>
      </c>
      <c r="T16" s="47" t="n">
        <v>337</v>
      </c>
      <c r="U16" s="48" t="n">
        <v>1791</v>
      </c>
      <c r="V16" s="364" t="n">
        <v>5.314540059347181</v>
      </c>
      <c r="W16" s="50" t="n">
        <v>14</v>
      </c>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v>2000</v>
      </c>
      <c r="F17" s="34" t="n">
        <v>2020</v>
      </c>
      <c r="G17" s="35" t="n">
        <v>20.3</v>
      </c>
      <c r="H17" s="36" t="n">
        <v>230</v>
      </c>
      <c r="I17" s="37" t="n">
        <v>1</v>
      </c>
      <c r="J17" s="38" t="n">
        <v>21301</v>
      </c>
      <c r="K17" s="131" t="inlineStr">
        <is>
          <t>Рост</t>
        </is>
      </c>
      <c r="L17" s="40" t="n">
        <v>92887</v>
      </c>
      <c r="M17" s="41" t="inlineStr">
        <is>
          <t>Падение</t>
        </is>
      </c>
      <c r="N17" s="42" t="n">
        <v>1209</v>
      </c>
      <c r="O17" s="255" t="n">
        <v>8364</v>
      </c>
      <c r="P17" s="44" t="n">
        <v>2275</v>
      </c>
      <c r="Q17" s="311" t="n">
        <v>11370</v>
      </c>
      <c r="R17" s="46" t="n">
        <v>0.1445480631276901</v>
      </c>
      <c r="S17" s="46" t="n">
        <v>0.2000879507475813</v>
      </c>
      <c r="T17" s="47" t="n">
        <v>287</v>
      </c>
      <c r="U17" s="48" t="n">
        <v>750</v>
      </c>
      <c r="V17" s="364" t="n">
        <v>2.613240418118467</v>
      </c>
      <c r="W17" s="50" t="n">
        <v>18</v>
      </c>
      <c r="X17" s="262" t="inlineStr">
        <is>
          <t>Слабый конкурент</t>
        </is>
      </c>
    </row>
    <row r="18">
      <c r="A18" s="26">
        <f>IMAGE(C18)</f>
        <v/>
      </c>
      <c r="B18" s="28" t="inlineStr">
        <is>
          <t>https://intelmed.ru/</t>
        </is>
      </c>
      <c r="C18" s="31">
        <f>"https://www.google.com/s2/favicons?domain="&amp;B18</f>
        <v/>
      </c>
      <c r="D18" s="31">
        <f>"https://a.pr-cy.ru/"&amp;IF(ISERROR(FIND("//www.",B18)),MID(B18,FIND(":",B18,4)+3,FIND("/",B18,9)-FIND(":",B18,4)-3),MID(B18,FIND(":",B18,4)+7,FIND("/",B18,9)-FIND(":",B18,4)-7))&amp;"/"</f>
        <v/>
      </c>
      <c r="E18" s="33" t="n">
        <v>778</v>
      </c>
      <c r="F18" s="34" t="n">
        <v>1850</v>
      </c>
      <c r="G18" s="35" t="n">
        <v>26.6</v>
      </c>
      <c r="H18" s="36" t="n">
        <v>200</v>
      </c>
      <c r="I18" s="37" t="n">
        <v>0</v>
      </c>
      <c r="J18" s="38" t="n">
        <v>2545</v>
      </c>
      <c r="K18" s="131" t="inlineStr">
        <is>
          <t>Рост</t>
        </is>
      </c>
      <c r="L18" s="40" t="n">
        <v>47773</v>
      </c>
      <c r="M18" s="41" t="inlineStr">
        <is>
          <t>Стагнация</t>
        </is>
      </c>
      <c r="N18" s="42" t="n">
        <v>264</v>
      </c>
      <c r="O18" s="255" t="n">
        <v>5081</v>
      </c>
      <c r="P18" s="44" t="n">
        <v>1499</v>
      </c>
      <c r="Q18" s="311" t="n">
        <v>7622</v>
      </c>
      <c r="R18" s="46" t="n">
        <v>0.05195827592993505</v>
      </c>
      <c r="S18" s="46" t="n">
        <v>0.1966675413277355</v>
      </c>
      <c r="T18" s="47" t="n">
        <v>214</v>
      </c>
      <c r="U18" s="48" t="n">
        <v>479</v>
      </c>
      <c r="V18" s="364" t="n">
        <v>2.238317757009346</v>
      </c>
      <c r="W18" s="50" t="n">
        <v>28</v>
      </c>
      <c r="X18" s="262" t="inlineStr">
        <is>
          <t>Слабый конкурент</t>
        </is>
      </c>
    </row>
    <row r="19">
      <c r="A19" s="26">
        <f>IMAGE(C19)</f>
        <v/>
      </c>
      <c r="B19" s="28" t="inlineStr">
        <is>
          <t>https://kriptomed.ru/</t>
        </is>
      </c>
      <c r="C19" s="31">
        <f>"https://www.google.com/s2/favicons?domain="&amp;B19</f>
        <v/>
      </c>
      <c r="D19" s="31">
        <f>"https://a.pr-cy.ru/"&amp;IF(ISERROR(FIND("//www.",B19)),MID(B19,FIND(":",B19,4)+3,FIND("/",B19,9)-FIND(":",B19,4)-3),MID(B19,FIND(":",B19,4)+7,FIND("/",B19,9)-FIND(":",B19,4)-7))&amp;"/"</f>
        <v/>
      </c>
      <c r="E19" s="33" t="n">
        <v>3000</v>
      </c>
      <c r="F19" s="34" t="n">
        <v>6200</v>
      </c>
      <c r="G19" s="35" t="n">
        <v>19.8</v>
      </c>
      <c r="H19" s="36" t="n">
        <v>340</v>
      </c>
      <c r="I19" s="37" t="n">
        <v>4</v>
      </c>
      <c r="J19" s="38" t="n">
        <v>17437</v>
      </c>
      <c r="K19" s="131" t="inlineStr">
        <is>
          <t>Рост</t>
        </is>
      </c>
      <c r="L19" s="40" t="n">
        <v>38052</v>
      </c>
      <c r="M19" s="41" t="inlineStr">
        <is>
          <t>Стагнация</t>
        </is>
      </c>
      <c r="N19" s="42" t="n">
        <v>1086</v>
      </c>
      <c r="O19" s="255" t="n">
        <v>9184</v>
      </c>
      <c r="P19" s="44" t="n">
        <v>1224</v>
      </c>
      <c r="Q19" s="311" t="n">
        <v>6996</v>
      </c>
      <c r="R19" s="46" t="n">
        <v>0.1182491289198606</v>
      </c>
      <c r="S19" s="46" t="n">
        <v>0.1749571183533448</v>
      </c>
      <c r="T19" s="47" t="n">
        <v>127</v>
      </c>
      <c r="U19" s="48" t="n">
        <v>253</v>
      </c>
      <c r="V19" s="364" t="n">
        <v>1.992125984251969</v>
      </c>
      <c r="W19" s="50" t="n">
        <v>12</v>
      </c>
      <c r="X19" s="262" t="inlineStr">
        <is>
          <t>Слабый конкурент</t>
        </is>
      </c>
    </row>
    <row r="20">
      <c r="A20" s="26">
        <f>IMAGE(C20)</f>
        <v/>
      </c>
      <c r="B20" s="28" t="inlineStr">
        <is>
          <t>https://fotek.ru/</t>
        </is>
      </c>
      <c r="C20" s="31">
        <f>"https://www.google.com/s2/favicons?domain="&amp;B20</f>
        <v/>
      </c>
      <c r="D20" s="31">
        <f>"https://a.pr-cy.ru/"&amp;IF(ISERROR(FIND("//www.",B20)),MID(B20,FIND(":",B20,4)+3,FIND("/",B20,9)-FIND(":",B20,4)-3),MID(B20,FIND(":",B20,4)+7,FIND("/",B20,9)-FIND(":",B20,4)-7))&amp;"/"</f>
        <v/>
      </c>
      <c r="E20" s="33" t="n">
        <v>4000</v>
      </c>
      <c r="F20" s="34" t="n">
        <v>2620</v>
      </c>
      <c r="G20" s="35" t="n">
        <v>25.2</v>
      </c>
      <c r="H20" s="36" t="n">
        <v>300</v>
      </c>
      <c r="I20" s="37" t="n">
        <v>3</v>
      </c>
      <c r="J20" s="38" t="n">
        <v>4906</v>
      </c>
      <c r="K20" s="131" t="inlineStr">
        <is>
          <t>Рост</t>
        </is>
      </c>
      <c r="L20" s="40" t="n">
        <v>9862</v>
      </c>
      <c r="M20" s="41" t="inlineStr">
        <is>
          <t>Падение</t>
        </is>
      </c>
      <c r="N20" s="42" t="n">
        <v>319</v>
      </c>
      <c r="O20" s="255" t="n">
        <v>2549</v>
      </c>
      <c r="P20" s="44" t="n">
        <v>468</v>
      </c>
      <c r="Q20" s="311" t="n">
        <v>2338</v>
      </c>
      <c r="R20" s="46" t="n">
        <v>0.1251471165162809</v>
      </c>
      <c r="S20" s="46" t="n">
        <v>0.2001710863986313</v>
      </c>
      <c r="T20" s="47" t="n">
        <v>197</v>
      </c>
      <c r="U20" s="48" t="n">
        <v>1911</v>
      </c>
      <c r="V20" s="364" t="n">
        <v>9.700507614213198</v>
      </c>
      <c r="W20" s="50" t="n">
        <v>25</v>
      </c>
      <c r="X20" s="262" t="inlineStr">
        <is>
          <t>Слабый конкурент</t>
        </is>
      </c>
    </row>
    <row r="21">
      <c r="A21" s="26">
        <f>IMAGE(C21)</f>
        <v/>
      </c>
      <c r="B21" s="28" t="inlineStr">
        <is>
          <t>https://medgrade.pro/</t>
        </is>
      </c>
      <c r="C21" s="31">
        <f>"https://www.google.com/s2/favicons?domain="&amp;B21</f>
        <v/>
      </c>
      <c r="D21" s="31">
        <f>"https://a.pr-cy.ru/"&amp;IF(ISERROR(FIND("//www.",B21)),MID(B21,FIND(":",B21,4)+3,FIND("/",B21,9)-FIND(":",B21,4)-3),MID(B21,FIND(":",B21,4)+7,FIND("/",B21,9)-FIND(":",B21,4)-7))&amp;"/"</f>
        <v/>
      </c>
      <c r="E21" s="33" t="n">
        <v>1000</v>
      </c>
      <c r="F21" s="34" t="n">
        <v>1100</v>
      </c>
      <c r="G21" s="35" t="n">
        <v>9</v>
      </c>
      <c r="H21" s="36" t="n">
        <v>150</v>
      </c>
      <c r="I21" s="37" t="n">
        <v>10</v>
      </c>
      <c r="J21" s="38" t="n">
        <v>16895</v>
      </c>
      <c r="K21" s="131" t="inlineStr">
        <is>
          <t>Рост</t>
        </is>
      </c>
      <c r="L21" s="40" t="n">
        <v>13916</v>
      </c>
      <c r="M21" s="41" t="inlineStr">
        <is>
          <t>Рост</t>
        </is>
      </c>
      <c r="N21" s="42" t="n">
        <v>1115</v>
      </c>
      <c r="O21" s="255" t="n">
        <v>8209</v>
      </c>
      <c r="P21" s="44" t="n">
        <v>957</v>
      </c>
      <c r="Q21" s="311" t="n">
        <v>6995</v>
      </c>
      <c r="R21" s="46" t="n">
        <v>0.1358265318552808</v>
      </c>
      <c r="S21" s="46" t="n">
        <v>0.1368120085775554</v>
      </c>
      <c r="T21" s="47" t="n">
        <v>103</v>
      </c>
      <c r="U21" s="48" t="n">
        <v>253</v>
      </c>
      <c r="V21" s="364" t="n">
        <v>2.45631067961165</v>
      </c>
      <c r="W21" s="50" t="n">
        <v>26</v>
      </c>
      <c r="X21" s="262" t="inlineStr">
        <is>
          <t xml:space="preserve"> Тёмная лошадка</t>
        </is>
      </c>
    </row>
    <row r="22">
      <c r="A22" s="26">
        <f>IMAGE(C22)</f>
        <v/>
      </c>
      <c r="B22" s="340" t="inlineStr">
        <is>
          <t>Медиана (по лидерам)</t>
        </is>
      </c>
      <c r="C22" s="340" t="n"/>
      <c r="D22" s="340" t="n"/>
      <c r="E22" s="336" t="n">
        <v>4500</v>
      </c>
      <c r="F22" s="337" t="n">
        <v>6660</v>
      </c>
      <c r="G22" s="337" t="n">
        <v>13.15</v>
      </c>
      <c r="H22" s="337" t="n">
        <v>300</v>
      </c>
      <c r="I22" s="338" t="n">
        <v>6</v>
      </c>
      <c r="J22" s="337" t="n">
        <v>29722.5</v>
      </c>
      <c r="K22" s="339" t="n"/>
      <c r="L22" s="337" t="n">
        <v>35725</v>
      </c>
      <c r="M22" s="340" t="n"/>
      <c r="N22" s="337" t="n">
        <v>7853.5</v>
      </c>
      <c r="O22" s="337" t="n">
        <v>33354.5</v>
      </c>
      <c r="P22" s="337" t="n">
        <v>4752</v>
      </c>
      <c r="Q22" s="337" t="n">
        <v>30169</v>
      </c>
      <c r="R22" s="341" t="n">
        <v>0.2354554857665382</v>
      </c>
      <c r="S22" s="341" t="n">
        <v>0.1575126785773476</v>
      </c>
      <c r="T22" s="336" t="n">
        <v>265.5</v>
      </c>
      <c r="U22" s="337" t="n">
        <v>1618.5</v>
      </c>
      <c r="V22" s="365" t="n">
        <v>5.345002371681026</v>
      </c>
      <c r="W22" s="338" t="n">
        <v>24</v>
      </c>
      <c r="X22" s="340" t="n"/>
    </row>
    <row r="23">
      <c r="A23" s="26">
        <f>IMAGE(C23)</f>
        <v/>
      </c>
      <c r="B23" s="28" t="inlineStr">
        <is>
          <t>https://reiginmed.ru/</t>
        </is>
      </c>
      <c r="C23" s="342">
        <f>"https://www.google.com/s2/favicons?domain="&amp;B23</f>
        <v/>
      </c>
      <c r="D23" s="342">
        <f>"https://a.pr-cy.ru/"&amp;IF(ISERROR(FIND("//www.",B23)),MID(B23,FIND(":",B23,4)+3,FIND("/",B23,9)-FIND(":",B23,4)-3),MID(B23,FIND(":",B23,4)+7,FIND("/",B23,9)-FIND(":",B23,4)-7))&amp;"/"</f>
        <v/>
      </c>
      <c r="E23" s="343" t="n">
        <v>1</v>
      </c>
      <c r="F23" s="344" t="n">
        <v>0</v>
      </c>
      <c r="G23" s="345" t="n">
        <v>1.2</v>
      </c>
      <c r="H23" s="344" t="n">
        <v>10</v>
      </c>
      <c r="I23" s="346" t="n">
        <v>0</v>
      </c>
      <c r="J23" s="348" t="n">
        <v>0</v>
      </c>
      <c r="K23" s="131" t="inlineStr">
        <is>
          <t>Стагнация</t>
        </is>
      </c>
      <c r="L23" s="348" t="n"/>
      <c r="M23" s="131" t="inlineStr">
        <is>
          <t>Стагнация</t>
        </is>
      </c>
      <c r="N23" s="348" t="n">
        <v>0</v>
      </c>
      <c r="O23" s="348" t="n">
        <v>1</v>
      </c>
      <c r="P23" s="348" t="n"/>
      <c r="Q23" s="348" t="n"/>
      <c r="R23" s="46" t="n">
        <v>0</v>
      </c>
      <c r="S23" s="46" t="n">
        <v>0</v>
      </c>
      <c r="T23" s="349" t="n">
        <v>0</v>
      </c>
      <c r="U23" s="350" t="n">
        <v>0</v>
      </c>
      <c r="V23" s="366" t="n">
        <v>0</v>
      </c>
      <c r="W23" s="352" t="n">
        <v>6</v>
      </c>
      <c r="X23" s="353" t="inlineStr">
        <is>
          <t>Наш сайт</t>
        </is>
      </c>
    </row>
  </sheetData>
  <autoFilter ref="A1:V23"/>
  <conditionalFormatting sqref="K2:K23 M2:M23">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23">
    <cfRule type="colorScale" priority="6">
      <colorScale>
        <cfvo type="min"/>
        <cfvo type="percentile" val="50"/>
        <cfvo type="max"/>
        <color rgb="FFE67C73"/>
        <color rgb="FFFFFFFF"/>
        <color rgb="FF57BB8A"/>
      </colorScale>
    </cfRule>
  </conditionalFormatting>
  <conditionalFormatting sqref="H2:H21 H23">
    <cfRule type="colorScale" priority="7">
      <colorScale>
        <cfvo type="min"/>
        <cfvo type="percentile" val="50"/>
        <cfvo type="max"/>
        <color rgb="FFE67C73"/>
        <color rgb="FFFFFFFF"/>
        <color rgb="FF57BB8A"/>
      </colorScale>
    </cfRule>
  </conditionalFormatting>
  <conditionalFormatting sqref="E2:E21 E23">
    <cfRule type="colorScale" priority="8">
      <colorScale>
        <cfvo type="min"/>
        <cfvo type="percentile" val="50"/>
        <cfvo type="max"/>
        <color rgb="FFE67C73"/>
        <color rgb="FFFFFFFF"/>
        <color rgb="FF57BB8A"/>
      </colorScale>
    </cfRule>
  </conditionalFormatting>
  <conditionalFormatting sqref="U2:U21 U23">
    <cfRule type="colorScale" priority="9">
      <colorScale>
        <cfvo type="min"/>
        <cfvo type="percentile" val="50"/>
        <cfvo type="max"/>
        <color rgb="FFE67C73"/>
        <color rgb="FFFFFFFF"/>
        <color rgb="FF57BB8A"/>
      </colorScale>
    </cfRule>
  </conditionalFormatting>
  <conditionalFormatting sqref="S2:S21 S23">
    <cfRule type="colorScale" priority="10">
      <colorScale>
        <cfvo type="min"/>
        <cfvo type="percentile" val="50"/>
        <cfvo type="max"/>
        <color rgb="FFE67C73"/>
        <color rgb="FFFFFFFF"/>
        <color rgb="FF57BB8A"/>
      </colorScale>
    </cfRule>
  </conditionalFormatting>
  <conditionalFormatting sqref="T2:T21 T23">
    <cfRule type="colorScale" priority="11">
      <colorScale>
        <cfvo type="min"/>
        <cfvo type="percentile" val="50"/>
        <cfvo type="max"/>
        <color rgb="FF57BB8A"/>
        <color rgb="FFFFFFFF"/>
        <color rgb="FFE67C73"/>
      </colorScale>
    </cfRule>
  </conditionalFormatting>
  <conditionalFormatting sqref="V2:X23">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1 J23">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1 I23">
    <cfRule type="colorScale" priority="20">
      <colorScale>
        <cfvo type="min"/>
        <cfvo type="percentile" val="50"/>
        <cfvo type="max"/>
        <color rgb="FFE67C73"/>
        <color rgb="FFFFFFFF"/>
        <color rgb="FF57BB8A"/>
      </colorScale>
    </cfRule>
  </conditionalFormatting>
  <conditionalFormatting sqref="G2:G21 G23">
    <cfRule type="colorScale" priority="21">
      <colorScale>
        <cfvo type="min"/>
        <cfvo type="percentile" val="50"/>
        <cfvo type="max"/>
        <color rgb="FFE67C73"/>
        <color rgb="FFFFFFFF"/>
        <color rgb="FF57BB8A"/>
      </colorScale>
    </cfRule>
  </conditionalFormatting>
  <conditionalFormatting sqref="F2:F21 F23">
    <cfRule type="colorScale" priority="22">
      <colorScale>
        <cfvo type="min"/>
        <cfvo type="percentile" val="50"/>
        <cfvo type="max"/>
        <color rgb="FFE67C73"/>
        <color rgb="FFFFFFFF"/>
        <color rgb="FF57BB8A"/>
      </colorScale>
    </cfRule>
  </conditionalFormatting>
  <conditionalFormatting sqref="L2:L21 L23">
    <cfRule type="colorScale" priority="23">
      <colorScale>
        <cfvo type="min"/>
        <cfvo type="percentile" val="50"/>
        <cfvo type="max"/>
        <color rgb="FFE67C73"/>
        <color rgb="FFFFFFFF"/>
        <color rgb="FF57BB8A"/>
      </colorScale>
    </cfRule>
  </conditionalFormatting>
  <conditionalFormatting sqref="N2:N21 N23">
    <cfRule type="colorScale" priority="24">
      <colorScale>
        <cfvo type="min"/>
        <cfvo type="percentile" val="50"/>
        <cfvo type="max"/>
        <color rgb="FFE67C73"/>
        <color rgb="FFFFFFFF"/>
        <color rgb="FF57BB8A"/>
      </colorScale>
    </cfRule>
  </conditionalFormatting>
  <conditionalFormatting sqref="O2:O21 O23">
    <cfRule type="colorScale" priority="25">
      <colorScale>
        <cfvo type="min"/>
        <cfvo type="percentile" val="50"/>
        <cfvo type="max"/>
        <color rgb="FFE67C73"/>
        <color rgb="FFFFFFFF"/>
        <color rgb="FF57BB8A"/>
      </colorScale>
    </cfRule>
  </conditionalFormatting>
  <conditionalFormatting sqref="P2:P21 P23">
    <cfRule type="colorScale" priority="26">
      <colorScale>
        <cfvo type="min"/>
        <cfvo type="percentile" val="50"/>
        <cfvo type="max"/>
        <color rgb="FFE67C73"/>
        <color rgb="FFFFFFFF"/>
        <color rgb="FF57BB8A"/>
      </colorScale>
    </cfRule>
  </conditionalFormatting>
  <conditionalFormatting sqref="Q2:Q21 Q23">
    <cfRule type="colorScale" priority="27">
      <colorScale>
        <cfvo type="min"/>
        <cfvo type="percentile" val="50"/>
        <cfvo type="max"/>
        <color rgb="FFE67C73"/>
        <color rgb="FFFFFFFF"/>
        <color rgb="FF57BB8A"/>
      </colorScale>
    </cfRule>
  </conditionalFormatting>
  <conditionalFormatting sqref="R2:R21 R23">
    <cfRule type="colorScale" priority="28">
      <colorScale>
        <cfvo type="min"/>
        <cfvo type="percentile" val="50"/>
        <cfvo type="max"/>
        <color rgb="FFE67C73"/>
        <color rgb="FFFFFFFF"/>
        <color rgb="FF57BB8A"/>
      </colorScale>
    </cfRule>
  </conditionalFormatting>
  <conditionalFormatting sqref="V2:V21 V23">
    <cfRule type="colorScale" priority="29">
      <colorScale>
        <cfvo type="min"/>
        <cfvo type="percentile" val="50"/>
        <cfvo type="max"/>
        <color rgb="FFE67C73"/>
        <color rgb="FFFFFFFF"/>
        <color rgb="FF57BB8A"/>
      </colorScale>
    </cfRule>
  </conditionalFormatting>
  <conditionalFormatting sqref="W2:W21 W23">
    <cfRule type="colorScale" priority="30">
      <colorScale>
        <cfvo type="min"/>
        <cfvo type="percentile" val="50"/>
        <cfvo type="max"/>
        <color rgb="FFE67C73"/>
        <color rgb="FFFFFFFF"/>
        <color rgb="FF57BB8A"/>
      </colorScale>
    </cfRule>
  </conditionalFormatting>
  <dataValidations count="1">
    <dataValidation sqref="X2:X23"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s="0" t="inlineStr">
        <is>
          <t>dealmed.ru</t>
        </is>
      </c>
      <c r="B2" s="0" t="n">
        <v>1</v>
      </c>
      <c r="C2" s="0" t="n">
        <v>3</v>
      </c>
      <c r="D2" s="0" t="n">
        <v>111</v>
      </c>
      <c r="E2" s="0" t="n">
        <v>8095</v>
      </c>
      <c r="F2" s="0" t="n">
        <v>34000</v>
      </c>
      <c r="G2" s="0" t="n">
        <v>57843</v>
      </c>
      <c r="H2" s="0" t="n">
        <v>139372</v>
      </c>
      <c r="I2" s="0" t="inlineStr">
        <is>
          <t>https://dealmed.ru/ginekologicheskoe_oborudovanie.html</t>
        </is>
      </c>
    </row>
    <row r="3">
      <c r="A3" s="0" t="inlineStr">
        <is>
          <t>medcomp.ru</t>
        </is>
      </c>
      <c r="B3" s="0" t="n">
        <v>3</v>
      </c>
      <c r="C3" s="0" t="n">
        <v>1</v>
      </c>
      <c r="D3" s="0" t="n">
        <v>28</v>
      </c>
      <c r="E3" s="0" t="n">
        <v>3014</v>
      </c>
      <c r="F3" s="0" t="n">
        <v>12027</v>
      </c>
      <c r="G3" s="0" t="n">
        <v>18818</v>
      </c>
      <c r="H3" s="0" t="n">
        <v>42378</v>
      </c>
      <c r="I3" s="0" t="inlineStr">
        <is>
          <t>https://medcomp.ru/catalog/oborudovanie/akusherstvo-i-ginekologiya</t>
        </is>
      </c>
    </row>
    <row r="4">
      <c r="A4" s="0" t="inlineStr">
        <is>
          <t>medliga.ru</t>
        </is>
      </c>
      <c r="B4" s="0" t="n">
        <v>2</v>
      </c>
      <c r="C4" s="0" t="n">
        <v>1</v>
      </c>
      <c r="D4" s="0" t="n">
        <v>19</v>
      </c>
      <c r="E4" s="0" t="n">
        <v>4333</v>
      </c>
      <c r="F4" s="0" t="n">
        <v>8912</v>
      </c>
      <c r="G4" s="0" t="n">
        <v>11043</v>
      </c>
      <c r="H4" s="0" t="n">
        <v>17944</v>
      </c>
      <c r="I4" s="0" t="inlineStr">
        <is>
          <t>https://medliga.ru/catalog/ginekologiya</t>
        </is>
      </c>
    </row>
    <row r="5">
      <c r="A5" s="0" t="inlineStr">
        <is>
          <t>almamed.su</t>
        </is>
      </c>
      <c r="B5" s="0" t="n">
        <v>4</v>
      </c>
      <c r="C5" s="0" t="n">
        <v>1</v>
      </c>
      <c r="D5" s="0" t="n">
        <v>10</v>
      </c>
      <c r="E5" s="0" t="n">
        <v>672</v>
      </c>
      <c r="F5" s="0" t="n">
        <v>6795</v>
      </c>
      <c r="G5" s="0" t="n">
        <v>17379</v>
      </c>
      <c r="H5" s="0" t="n">
        <v>80522</v>
      </c>
      <c r="I5" s="0" t="inlineStr">
        <is>
          <t>https://almamed.su/category/ginekologiya</t>
        </is>
      </c>
    </row>
    <row r="6">
      <c r="A6" s="0" t="inlineStr">
        <is>
          <t>medcub.ru</t>
        </is>
      </c>
      <c r="B6" s="0" t="n">
        <v>18</v>
      </c>
      <c r="C6" s="0" t="n">
        <v>1</v>
      </c>
      <c r="D6" s="0" t="n">
        <v>12</v>
      </c>
      <c r="E6" s="0" t="n">
        <v>1297</v>
      </c>
      <c r="F6" s="0" t="n">
        <v>6373</v>
      </c>
      <c r="G6" s="0" t="n">
        <v>10031</v>
      </c>
      <c r="H6" s="0" t="n">
        <v>24331</v>
      </c>
      <c r="I6" s="0" t="inlineStr">
        <is>
          <t>https://medcub.ru/catalog/akusherstvo_i_ginekologiya</t>
        </is>
      </c>
    </row>
    <row r="7">
      <c r="A7" s="0" t="inlineStr">
        <is>
          <t>global-mt.ru</t>
        </is>
      </c>
      <c r="B7" s="0" t="n">
        <v>31</v>
      </c>
      <c r="C7" s="0" t="n">
        <v>1</v>
      </c>
      <c r="D7" s="0" t="n">
        <v>9</v>
      </c>
      <c r="E7" s="0" t="n">
        <v>1361</v>
      </c>
      <c r="F7" s="0" t="n">
        <v>6043</v>
      </c>
      <c r="G7" s="0" t="n">
        <v>9645</v>
      </c>
      <c r="H7" s="0" t="n">
        <v>19713</v>
      </c>
      <c r="I7" s="0" t="inlineStr">
        <is>
          <t>https://global-mt.ru/catalog/ginekologiya</t>
        </is>
      </c>
    </row>
    <row r="8">
      <c r="A8" s="0" t="inlineStr">
        <is>
          <t>gmk-kiel.ru</t>
        </is>
      </c>
      <c r="B8" s="0" t="n">
        <v>6</v>
      </c>
      <c r="C8" s="0" t="n">
        <v>1</v>
      </c>
      <c r="D8" s="0" t="n">
        <v>9</v>
      </c>
      <c r="E8" s="0" t="n">
        <v>907</v>
      </c>
      <c r="F8" s="0" t="n">
        <v>4514</v>
      </c>
      <c r="G8" s="0" t="n">
        <v>8074</v>
      </c>
      <c r="H8" s="0" t="n">
        <v>17901</v>
      </c>
      <c r="I8" s="0" t="inlineStr">
        <is>
          <t>https://gmk-kiel.ru/catalog/oborudovanie/akusherstvo-i-ginekologiya</t>
        </is>
      </c>
    </row>
    <row r="9">
      <c r="A9" s="0" t="inlineStr">
        <is>
          <t>cordismed.ru</t>
        </is>
      </c>
      <c r="B9" s="0" t="n">
        <v>5</v>
      </c>
      <c r="C9" s="0" t="n">
        <v>1</v>
      </c>
      <c r="D9" s="0" t="n">
        <v>3</v>
      </c>
      <c r="E9" s="0" t="n">
        <v>486</v>
      </c>
      <c r="F9" s="0" t="n">
        <v>2687</v>
      </c>
      <c r="G9" s="0" t="n">
        <v>5627</v>
      </c>
      <c r="H9" s="0" t="n">
        <v>18562</v>
      </c>
      <c r="I9" s="0" t="inlineStr">
        <is>
          <t>https://cordismed.ru/ginekologiya</t>
        </is>
      </c>
    </row>
    <row r="10">
      <c r="A10" s="0" t="inlineStr">
        <is>
          <t>medrk.ru</t>
        </is>
      </c>
      <c r="B10" s="0" t="n">
        <v>26</v>
      </c>
      <c r="C10" s="0" t="n">
        <v>1</v>
      </c>
      <c r="D10" s="0" t="n">
        <v>3</v>
      </c>
      <c r="E10" s="0" t="n">
        <v>421</v>
      </c>
      <c r="F10" s="0" t="n">
        <v>2671</v>
      </c>
      <c r="G10" s="0" t="n">
        <v>6184</v>
      </c>
      <c r="H10" s="0" t="n">
        <v>39793</v>
      </c>
      <c r="I10" s="0" t="inlineStr">
        <is>
          <t>https://medrk.ru/shop/ginekologiya</t>
        </is>
      </c>
    </row>
    <row r="11">
      <c r="A11" s="0" t="inlineStr">
        <is>
          <t>sterimed.ru</t>
        </is>
      </c>
      <c r="B11" s="0" t="n">
        <v>10</v>
      </c>
      <c r="C11" s="0" t="n">
        <v>1</v>
      </c>
      <c r="D11" s="0" t="n">
        <v>5</v>
      </c>
      <c r="E11" s="0" t="n">
        <v>282</v>
      </c>
      <c r="F11" s="0" t="n">
        <v>2595</v>
      </c>
      <c r="G11" s="0" t="n">
        <v>5515</v>
      </c>
      <c r="H11" s="0" t="n">
        <v>12635</v>
      </c>
      <c r="I11" s="0" t="inlineStr">
        <is>
          <t>https://sterimed.ru/catalog/akusherstvo_i_ginekologiya</t>
        </is>
      </c>
    </row>
    <row r="12">
      <c r="A12" s="0" t="inlineStr">
        <is>
          <t>ivlabmed.ru</t>
        </is>
      </c>
      <c r="B12" s="0" t="n">
        <v>12</v>
      </c>
      <c r="C12" s="0" t="n">
        <v>1</v>
      </c>
      <c r="D12" s="0" t="n">
        <v>3</v>
      </c>
      <c r="E12" s="0" t="n">
        <v>233</v>
      </c>
      <c r="F12" s="0" t="n">
        <v>2067</v>
      </c>
      <c r="G12" s="0" t="n">
        <v>5313</v>
      </c>
      <c r="H12" s="0" t="n">
        <v>17494</v>
      </c>
      <c r="I12" s="0" t="inlineStr">
        <is>
          <t>https://ivlabmed.ru/catalog/ginekologiya</t>
        </is>
      </c>
    </row>
    <row r="13">
      <c r="A13" s="0" t="inlineStr">
        <is>
          <t>medbuy.ru</t>
        </is>
      </c>
      <c r="B13" s="0" t="n">
        <v>15</v>
      </c>
      <c r="C13" s="0" t="n">
        <v>1</v>
      </c>
      <c r="D13" s="0" t="n">
        <v>3</v>
      </c>
      <c r="E13" s="0" t="n">
        <v>352</v>
      </c>
      <c r="F13" s="0" t="n">
        <v>1973</v>
      </c>
      <c r="G13" s="0" t="n">
        <v>4266</v>
      </c>
      <c r="H13" s="0" t="n">
        <v>19233</v>
      </c>
      <c r="I13" s="0" t="inlineStr">
        <is>
          <t>https://medbuy.ru/catalog/akusherskoe-i-ginekologicheskoe-oborudovanie</t>
        </is>
      </c>
    </row>
    <row r="14">
      <c r="A14" s="0" t="inlineStr">
        <is>
          <t>medpribor.pro</t>
        </is>
      </c>
      <c r="B14" s="0" t="n">
        <v>22</v>
      </c>
      <c r="C14" s="0" t="n">
        <v>1</v>
      </c>
      <c r="D14" s="0" t="n">
        <v>4</v>
      </c>
      <c r="E14" s="0" t="n">
        <v>317</v>
      </c>
      <c r="F14" s="0" t="n">
        <v>1826</v>
      </c>
      <c r="G14" s="0" t="n">
        <v>3899</v>
      </c>
      <c r="H14" s="0" t="n">
        <v>16120</v>
      </c>
      <c r="I14" s="0" t="inlineStr">
        <is>
          <t>https://medpribor.pro/pc/lpu/gynecological</t>
        </is>
      </c>
    </row>
    <row r="15">
      <c r="A15" s="0" t="inlineStr">
        <is>
          <t>medeq.ru</t>
        </is>
      </c>
      <c r="B15" s="0" t="n">
        <v>7</v>
      </c>
      <c r="C15" s="0" t="n">
        <v>1</v>
      </c>
      <c r="D15" s="0" t="n">
        <v>5</v>
      </c>
      <c r="E15" s="0" t="n">
        <v>237</v>
      </c>
      <c r="F15" s="0" t="n">
        <v>1795</v>
      </c>
      <c r="G15" s="0" t="n">
        <v>5100</v>
      </c>
      <c r="H15" s="0" t="n">
        <v>31655</v>
      </c>
      <c r="I15" s="0" t="inlineStr">
        <is>
          <t>https://medeq.ru/store/akusherstvo-i-ginekologiya</t>
        </is>
      </c>
    </row>
    <row r="16">
      <c r="A16" s="0" t="inlineStr">
        <is>
          <t>farm-invest.ru</t>
        </is>
      </c>
      <c r="B16" s="0" t="n">
        <v>16</v>
      </c>
      <c r="C16" s="0" t="n">
        <v>1</v>
      </c>
      <c r="D16" s="0" t="n">
        <v>2</v>
      </c>
      <c r="E16" s="0" t="n">
        <v>274</v>
      </c>
      <c r="F16" s="0" t="n">
        <v>1753</v>
      </c>
      <c r="G16" s="0" t="n">
        <v>3889</v>
      </c>
      <c r="H16" s="0" t="n">
        <v>14459</v>
      </c>
      <c r="I16" s="0" t="inlineStr">
        <is>
          <t>https://farm-invest.ru/catalog/akusherstvo-i-ginekologiya</t>
        </is>
      </c>
    </row>
    <row r="17">
      <c r="A17" s="0" t="inlineStr">
        <is>
          <t>uromed-m.ru</t>
        </is>
      </c>
      <c r="B17" s="0" t="n">
        <v>8</v>
      </c>
      <c r="C17" s="0" t="n">
        <v>1</v>
      </c>
      <c r="D17" s="0" t="n">
        <v>3</v>
      </c>
      <c r="E17" s="0" t="n">
        <v>224</v>
      </c>
      <c r="F17" s="0" t="n">
        <v>1209</v>
      </c>
      <c r="G17" s="0" t="n">
        <v>2427</v>
      </c>
      <c r="H17" s="0" t="n">
        <v>8364</v>
      </c>
      <c r="I17" s="0" t="inlineStr">
        <is>
          <t>https://uromed-m.ru/ginekologicheskoe-oborudovanie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354" min="1" max="1"/>
    <col width="15" customWidth="1" style="354" min="2" max="2"/>
    <col width="15" customWidth="1" style="354" min="3" max="3"/>
    <col width="15" customWidth="1" style="354" min="4" max="4"/>
    <col width="15" customWidth="1" style="354" min="5" max="5"/>
    <col width="15" customWidth="1" style="354" min="6" max="6"/>
    <col width="15" customWidth="1" style="354" min="7" max="7"/>
    <col width="15" customWidth="1" style="354" min="8" max="8"/>
    <col width="15" customWidth="1" style="354" min="9" max="9"/>
    <col width="15" customWidth="1" style="354" min="10" max="10"/>
    <col width="15" customWidth="1" style="354" min="11" max="11"/>
    <col width="15" customWidth="1" style="354" min="12" max="12"/>
    <col width="15" customWidth="1" style="354" min="13" max="13"/>
    <col width="15" customWidth="1" style="354" min="14" max="14"/>
    <col width="15" customWidth="1" style="354" min="15" max="15"/>
    <col width="15" customWidth="1" style="354" min="16" max="16"/>
  </cols>
  <sheetData>
    <row r="1" ht="48" customHeight="1" s="354">
      <c r="A1" s="355" t="inlineStr">
        <is>
          <t>Домен</t>
        </is>
      </c>
      <c r="B1" s="355" t="inlineStr">
        <is>
          <t>Трафик Яндекс</t>
        </is>
      </c>
      <c r="C1" s="355" t="inlineStr">
        <is>
          <t>Трафик Google</t>
        </is>
      </c>
      <c r="D1" s="355" t="inlineStr">
        <is>
          <t>Упоминания в Алисе</t>
        </is>
      </c>
      <c r="E1" s="355" t="inlineStr">
        <is>
          <t>Ключей в топ 1 (Ya)</t>
        </is>
      </c>
      <c r="F1" s="355" t="inlineStr">
        <is>
          <t>Ключей в топ 10 (Ya)</t>
        </is>
      </c>
      <c r="G1" s="355" t="inlineStr">
        <is>
          <t>Ключей в топ 1 (G)</t>
        </is>
      </c>
      <c r="H1" s="355" t="inlineStr">
        <is>
          <t>Ключей в топ 10 (G)</t>
        </is>
      </c>
      <c r="I1" s="355" t="inlineStr">
        <is>
          <t>Ссылающихся IP</t>
        </is>
      </c>
      <c r="J1" s="355" t="inlineStr">
        <is>
          <t>Исходящих доменов</t>
        </is>
      </c>
      <c r="K1" s="355" t="inlineStr">
        <is>
          <t>Трафик в контексте (Ya), запросов</t>
        </is>
      </c>
      <c r="L1" s="355" t="inlineStr">
        <is>
          <t>Посетители в месяц (pr-cy)</t>
        </is>
      </c>
      <c r="M1" s="355" t="inlineStr">
        <is>
          <t>Поисковые системы, %</t>
        </is>
      </c>
      <c r="N1" s="355" t="inlineStr">
        <is>
          <t>Отказы, %</t>
        </is>
      </c>
      <c r="O1" s="355" t="inlineStr">
        <is>
          <t>Категория (pr-cy)</t>
        </is>
      </c>
      <c r="P1" s="355" t="inlineStr">
        <is>
          <t>Обновление pr-cy</t>
        </is>
      </c>
    </row>
    <row r="2">
      <c r="A2" s="0" t="inlineStr">
        <is>
          <t>dealmed.ru</t>
        </is>
      </c>
      <c r="B2" s="0" t="n">
        <v>9945</v>
      </c>
      <c r="C2" s="0" t="n">
        <v>3710</v>
      </c>
      <c r="D2" s="0" t="n">
        <v>12572</v>
      </c>
      <c r="E2" s="0" t="n">
        <v>8095</v>
      </c>
      <c r="F2" s="0" t="n">
        <v>57843</v>
      </c>
      <c r="G2" s="0" t="n">
        <v>2003</v>
      </c>
      <c r="H2" s="0" t="n">
        <v>26401</v>
      </c>
      <c r="I2" s="0" t="n">
        <v>1576</v>
      </c>
      <c r="J2" s="0" t="n">
        <v>38</v>
      </c>
      <c r="K2" s="0" t="n">
        <v>14338</v>
      </c>
      <c r="L2" s="0" t="n">
        <v>195000</v>
      </c>
      <c r="M2" s="0" t="n">
        <v>30</v>
      </c>
      <c r="N2" s="0" t="n">
        <v>52</v>
      </c>
      <c r="O2" s="0" t="inlineStr">
        <is>
          <t>Здоровье</t>
        </is>
      </c>
      <c r="P2" s="0" t="inlineStr">
        <is>
          <t>23.09.2026</t>
        </is>
      </c>
    </row>
    <row r="3">
      <c r="A3" s="0" t="inlineStr">
        <is>
          <t>medcomp.ru</t>
        </is>
      </c>
      <c r="B3" s="0" t="n">
        <v>2524</v>
      </c>
      <c r="C3" s="0" t="n">
        <v>5921</v>
      </c>
      <c r="D3" s="0" t="n">
        <v>6520</v>
      </c>
      <c r="E3" s="0" t="n">
        <v>3014</v>
      </c>
      <c r="F3" s="0" t="n">
        <v>18818</v>
      </c>
      <c r="G3" s="0" t="n">
        <v>4610</v>
      </c>
      <c r="H3" s="0" t="n">
        <v>20602</v>
      </c>
      <c r="I3" s="0" t="n">
        <v>1266</v>
      </c>
      <c r="J3" s="0" t="n">
        <v>15</v>
      </c>
      <c r="K3" s="0" t="n">
        <v>5</v>
      </c>
      <c r="L3" s="0" t="n">
        <v>141000</v>
      </c>
      <c r="M3" s="0" t="n">
        <v>33</v>
      </c>
      <c r="N3" s="0" t="n">
        <v>48</v>
      </c>
      <c r="O3" s="0" t="inlineStr">
        <is>
          <t>Здоровье</t>
        </is>
      </c>
      <c r="P3" s="0" t="inlineStr">
        <is>
          <t>26.09.2026</t>
        </is>
      </c>
    </row>
    <row r="4">
      <c r="A4" s="0" t="inlineStr">
        <is>
          <t>medliga.ru</t>
        </is>
      </c>
      <c r="B4" s="0" t="n">
        <v>1671</v>
      </c>
      <c r="C4" s="0" t="n">
        <v>1150</v>
      </c>
      <c r="D4" s="0" t="n">
        <v>2702</v>
      </c>
      <c r="E4" s="0" t="n">
        <v>4333</v>
      </c>
      <c r="F4" s="0" t="n">
        <v>11043</v>
      </c>
      <c r="G4" s="0" t="n">
        <v>912</v>
      </c>
      <c r="H4" s="0" t="n">
        <v>7865</v>
      </c>
      <c r="I4" s="0" t="n">
        <v>702</v>
      </c>
      <c r="J4" s="0" t="n">
        <v>44</v>
      </c>
      <c r="K4" s="0" t="n">
        <v>3053</v>
      </c>
      <c r="L4" s="0" t="n">
        <v>49300</v>
      </c>
      <c r="M4" s="0" t="n">
        <v>58</v>
      </c>
      <c r="N4" s="0" t="n">
        <v>46</v>
      </c>
      <c r="O4" s="0" t="inlineStr">
        <is>
          <t>Здоровье</t>
        </is>
      </c>
      <c r="P4" s="0" t="inlineStr">
        <is>
          <t>29.09.2026</t>
        </is>
      </c>
    </row>
    <row r="5">
      <c r="A5" s="0" t="inlineStr">
        <is>
          <t>almamed.su</t>
        </is>
      </c>
      <c r="B5" s="0" t="n">
        <v>902</v>
      </c>
      <c r="C5" s="0" t="n">
        <v>985</v>
      </c>
      <c r="D5" s="0" t="n">
        <v>6877</v>
      </c>
      <c r="E5" s="0" t="n">
        <v>672</v>
      </c>
      <c r="F5" s="0" t="n">
        <v>17379</v>
      </c>
      <c r="G5" s="0" t="n">
        <v>445</v>
      </c>
      <c r="H5" s="0" t="n">
        <v>11282</v>
      </c>
      <c r="I5" s="0" t="n">
        <v>1150</v>
      </c>
      <c r="J5" s="0" t="n">
        <v>41</v>
      </c>
      <c r="K5" s="0" t="n">
        <v>0</v>
      </c>
      <c r="L5" s="0" t="n">
        <v>87800</v>
      </c>
      <c r="M5" s="0" t="n">
        <v>65</v>
      </c>
      <c r="N5" s="0" t="n">
        <v>46</v>
      </c>
      <c r="O5" s="0" t="inlineStr">
        <is>
          <t>Здоровье</t>
        </is>
      </c>
      <c r="P5" s="0" t="inlineStr">
        <is>
          <t>24.09.2026</t>
        </is>
      </c>
    </row>
    <row r="6">
      <c r="A6" s="0" t="inlineStr">
        <is>
          <t>medcub.ru</t>
        </is>
      </c>
      <c r="B6" s="0" t="n">
        <v>1066</v>
      </c>
      <c r="C6" s="0" t="n">
        <v>243</v>
      </c>
      <c r="D6" s="0" t="n">
        <v>4240</v>
      </c>
      <c r="E6" s="0" t="n">
        <v>1297</v>
      </c>
      <c r="F6" s="0" t="n">
        <v>10031</v>
      </c>
      <c r="G6" s="0" t="n">
        <v>94</v>
      </c>
      <c r="H6" s="0" t="n">
        <v>3521</v>
      </c>
      <c r="I6" s="0" t="n">
        <v>255</v>
      </c>
      <c r="J6" s="0" t="n">
        <v>6</v>
      </c>
      <c r="K6" s="0" t="n">
        <v>6299</v>
      </c>
      <c r="L6" s="0" t="n">
        <v>55700</v>
      </c>
      <c r="M6" s="0" t="n">
        <v>29</v>
      </c>
      <c r="N6" s="0" t="n">
        <v>58</v>
      </c>
      <c r="O6" s="0" t="inlineStr">
        <is>
          <t>Здоровье</t>
        </is>
      </c>
      <c r="P6" s="0" t="inlineStr">
        <is>
          <t>25.08.2026</t>
        </is>
      </c>
    </row>
    <row r="7">
      <c r="A7" s="0" t="inlineStr">
        <is>
          <t>global-mt.ru</t>
        </is>
      </c>
      <c r="B7" s="0" t="n">
        <v>783</v>
      </c>
      <c r="C7" s="0" t="n">
        <v>90</v>
      </c>
      <c r="D7" s="0" t="n">
        <v>2054</v>
      </c>
      <c r="E7" s="0" t="n">
        <v>1361</v>
      </c>
      <c r="F7" s="0" t="n">
        <v>9645</v>
      </c>
      <c r="G7" s="0" t="n">
        <v>42</v>
      </c>
      <c r="H7" s="0" t="n">
        <v>1226</v>
      </c>
      <c r="I7" s="0" t="n">
        <v>211</v>
      </c>
      <c r="J7" s="0" t="n">
        <v>246</v>
      </c>
      <c r="K7" s="0" t="n">
        <v>3</v>
      </c>
      <c r="L7" s="0" t="n">
        <v>32200</v>
      </c>
      <c r="M7" s="0" t="n">
        <v>61</v>
      </c>
      <c r="N7" s="0" t="n">
        <v>66</v>
      </c>
      <c r="O7" s="0" t="inlineStr">
        <is>
          <t>Здоровье</t>
        </is>
      </c>
      <c r="P7" s="0" t="inlineStr">
        <is>
          <t>04.09.2026</t>
        </is>
      </c>
    </row>
    <row r="8">
      <c r="A8" s="0" t="inlineStr">
        <is>
          <t>gmk-kiel.ru</t>
        </is>
      </c>
      <c r="B8" s="0" t="n">
        <v>804</v>
      </c>
      <c r="C8" s="0" t="n">
        <v>323</v>
      </c>
      <c r="D8" s="0" t="n">
        <v>2250</v>
      </c>
      <c r="E8" s="0" t="n">
        <v>907</v>
      </c>
      <c r="F8" s="0" t="n">
        <v>8074</v>
      </c>
      <c r="G8" s="0" t="n">
        <v>75</v>
      </c>
      <c r="H8" s="0" t="n">
        <v>2688</v>
      </c>
      <c r="I8" s="0" t="n">
        <v>132</v>
      </c>
      <c r="J8" s="0" t="n">
        <v>20</v>
      </c>
      <c r="K8" s="0" t="n">
        <v>172</v>
      </c>
      <c r="L8" s="0" t="n">
        <v>8740</v>
      </c>
      <c r="M8" s="0" t="n">
        <v>44</v>
      </c>
      <c r="N8" s="0" t="n">
        <v>49</v>
      </c>
      <c r="O8" s="0" t="inlineStr">
        <is>
          <t>Здоровье</t>
        </is>
      </c>
      <c r="P8" s="0" t="inlineStr">
        <is>
          <t>21.07.2026</t>
        </is>
      </c>
    </row>
    <row r="9">
      <c r="A9" s="0" t="inlineStr">
        <is>
          <t>cordismed.ru</t>
        </is>
      </c>
      <c r="B9" s="0" t="n">
        <v>240</v>
      </c>
      <c r="C9" s="0" t="n">
        <v>932</v>
      </c>
      <c r="D9" s="0" t="n">
        <v>3242</v>
      </c>
      <c r="E9" s="0" t="n">
        <v>486</v>
      </c>
      <c r="F9" s="0" t="n">
        <v>5627</v>
      </c>
      <c r="G9" s="0" t="n">
        <v>959</v>
      </c>
      <c r="H9" s="0" t="n">
        <v>7004</v>
      </c>
      <c r="I9" s="0" t="n">
        <v>401</v>
      </c>
      <c r="J9" s="0" t="n">
        <v>24</v>
      </c>
      <c r="K9" s="0" t="n">
        <v>286</v>
      </c>
      <c r="L9" s="0" t="n">
        <v>32700</v>
      </c>
      <c r="M9" s="0" t="n">
        <v>20</v>
      </c>
      <c r="N9" s="0" t="n">
        <v>52</v>
      </c>
      <c r="O9" s="0" t="inlineStr">
        <is>
          <t>Здоровье</t>
        </is>
      </c>
      <c r="P9" s="0" t="inlineStr">
        <is>
          <t>21.07.2026</t>
        </is>
      </c>
    </row>
    <row r="10">
      <c r="A10" s="0" t="inlineStr">
        <is>
          <t>medrk.ru</t>
        </is>
      </c>
      <c r="B10" s="0" t="n">
        <v>302</v>
      </c>
      <c r="C10" s="0" t="n">
        <v>1198</v>
      </c>
      <c r="D10" s="0" t="n">
        <v>3539</v>
      </c>
      <c r="E10" s="0" t="n">
        <v>421</v>
      </c>
      <c r="F10" s="0" t="n">
        <v>6184</v>
      </c>
      <c r="G10" s="0" t="n">
        <v>671</v>
      </c>
      <c r="H10" s="0" t="n">
        <v>9501</v>
      </c>
      <c r="I10" s="0" t="n">
        <v>1354</v>
      </c>
      <c r="J10" s="0" t="n">
        <v>24</v>
      </c>
      <c r="K10" s="0" t="n">
        <v>888</v>
      </c>
      <c r="L10" s="0" t="n">
        <v>42700</v>
      </c>
      <c r="M10" s="0" t="n">
        <v>63</v>
      </c>
      <c r="N10" s="0" t="n">
        <v>47</v>
      </c>
      <c r="O10" s="0" t="inlineStr">
        <is>
          <t>Здоровье</t>
        </is>
      </c>
      <c r="P10" s="0" t="inlineStr">
        <is>
          <t>28.08.2026</t>
        </is>
      </c>
    </row>
    <row r="11">
      <c r="A11" s="0" t="inlineStr">
        <is>
          <t>sterimed.ru</t>
        </is>
      </c>
      <c r="B11" s="0" t="n">
        <v>440</v>
      </c>
      <c r="C11" s="0" t="n">
        <v>153</v>
      </c>
      <c r="D11" s="0" t="n">
        <v>1584</v>
      </c>
      <c r="E11" s="0" t="n">
        <v>282</v>
      </c>
      <c r="F11" s="0" t="n">
        <v>5515</v>
      </c>
      <c r="G11" s="0" t="n">
        <v>77</v>
      </c>
      <c r="H11" s="0" t="n">
        <v>2431</v>
      </c>
      <c r="I11" s="0" t="n">
        <v>165</v>
      </c>
      <c r="J11" s="0" t="n">
        <v>22</v>
      </c>
      <c r="K11" s="0" t="n">
        <v>2142</v>
      </c>
      <c r="L11" s="0" t="n">
        <v>6570</v>
      </c>
      <c r="M11" s="0" t="n">
        <v>34</v>
      </c>
      <c r="N11" s="0" t="n">
        <v>43</v>
      </c>
      <c r="O11" s="0" t="inlineStr">
        <is>
          <t>Здоровье</t>
        </is>
      </c>
      <c r="P11" s="0" t="inlineStr">
        <is>
          <t>22.09.2026</t>
        </is>
      </c>
    </row>
    <row r="12">
      <c r="A12" s="0" t="inlineStr">
        <is>
          <t>ivlabmed.ru</t>
        </is>
      </c>
      <c r="B12" s="0" t="n">
        <v>239</v>
      </c>
      <c r="C12" s="0" t="n">
        <v>23</v>
      </c>
      <c r="D12" s="0" t="n">
        <v>1096</v>
      </c>
      <c r="E12" s="0" t="n">
        <v>233</v>
      </c>
      <c r="F12" s="0" t="n">
        <v>5313</v>
      </c>
      <c r="G12" s="0" t="n">
        <v>23</v>
      </c>
      <c r="H12" s="0" t="n">
        <v>363</v>
      </c>
      <c r="I12" s="0" t="n">
        <v>172</v>
      </c>
      <c r="J12" s="0" t="n">
        <v>11</v>
      </c>
      <c r="K12" s="0" t="n">
        <v>376</v>
      </c>
      <c r="L12" s="0" t="n">
        <v>11000</v>
      </c>
      <c r="M12" s="0" t="n">
        <v>58</v>
      </c>
      <c r="N12" s="0" t="n">
        <v>78</v>
      </c>
      <c r="O12" s="0" t="inlineStr">
        <is>
          <t>Здоровье</t>
        </is>
      </c>
      <c r="P12" s="0" t="inlineStr">
        <is>
          <t>25.08.2026</t>
        </is>
      </c>
    </row>
    <row r="13">
      <c r="A13" s="0" t="inlineStr">
        <is>
          <t>medbuy.ru</t>
        </is>
      </c>
      <c r="B13" s="0" t="n">
        <v>236</v>
      </c>
      <c r="C13" s="0" t="n">
        <v>57</v>
      </c>
      <c r="D13" s="0" t="n">
        <v>636</v>
      </c>
      <c r="E13" s="0" t="n">
        <v>352</v>
      </c>
      <c r="F13" s="0" t="n">
        <v>4266</v>
      </c>
      <c r="G13" s="0" t="n">
        <v>21</v>
      </c>
      <c r="H13" s="0" t="n">
        <v>833</v>
      </c>
      <c r="I13" s="0" t="n">
        <v>545</v>
      </c>
      <c r="J13" s="0" t="n">
        <v>870</v>
      </c>
      <c r="K13" s="0" t="n">
        <v>0</v>
      </c>
      <c r="L13" s="0" t="n">
        <v>14700</v>
      </c>
      <c r="M13" s="0" t="n">
        <v>35</v>
      </c>
      <c r="N13" s="0" t="n">
        <v>46</v>
      </c>
      <c r="O13" s="0" t="inlineStr">
        <is>
          <t>Здоровье</t>
        </is>
      </c>
      <c r="P13" s="0" t="inlineStr">
        <is>
          <t>25.08.2026</t>
        </is>
      </c>
    </row>
    <row r="14">
      <c r="A14" s="0" t="inlineStr">
        <is>
          <t>medpribor.pro</t>
        </is>
      </c>
      <c r="B14" s="0" t="n">
        <v>358</v>
      </c>
      <c r="C14" s="0" t="n">
        <v>371</v>
      </c>
      <c r="D14" s="0" t="n">
        <v>939</v>
      </c>
      <c r="E14" s="0" t="n">
        <v>317</v>
      </c>
      <c r="F14" s="0" t="n">
        <v>3899</v>
      </c>
      <c r="G14" s="0" t="n">
        <v>182</v>
      </c>
      <c r="H14" s="0" t="n">
        <v>2575</v>
      </c>
      <c r="I14" s="0" t="n">
        <v>460</v>
      </c>
      <c r="J14" s="0" t="n">
        <v>14</v>
      </c>
      <c r="K14" s="0" t="n">
        <v>685</v>
      </c>
      <c r="L14" s="0" t="n">
        <v>9880</v>
      </c>
      <c r="M14" s="0" t="n">
        <v>23</v>
      </c>
      <c r="N14" s="0" t="n">
        <v>45</v>
      </c>
      <c r="O14" s="0" t="inlineStr">
        <is>
          <t>Здоровье</t>
        </is>
      </c>
      <c r="P14" s="0" t="inlineStr">
        <is>
          <t>16.09.2026</t>
        </is>
      </c>
    </row>
    <row r="15">
      <c r="A15" s="0" t="inlineStr">
        <is>
          <t>medeq.ru</t>
        </is>
      </c>
      <c r="B15" s="0" t="n">
        <v>419</v>
      </c>
      <c r="C15" s="0" t="n">
        <v>245</v>
      </c>
      <c r="D15" s="0" t="n">
        <v>1223</v>
      </c>
      <c r="E15" s="0" t="n">
        <v>237</v>
      </c>
      <c r="F15" s="0" t="n">
        <v>5100</v>
      </c>
      <c r="G15" s="0" t="n">
        <v>138</v>
      </c>
      <c r="H15" s="0" t="n">
        <v>2911</v>
      </c>
      <c r="I15" s="0" t="n">
        <v>792</v>
      </c>
      <c r="J15" s="0" t="n">
        <v>14</v>
      </c>
      <c r="K15" s="0" t="n">
        <v>1287</v>
      </c>
      <c r="L15" s="0" t="n">
        <v>29300</v>
      </c>
      <c r="M15" s="0" t="n">
        <v>4</v>
      </c>
      <c r="N15" s="0" t="n">
        <v>58</v>
      </c>
      <c r="O15" s="0" t="inlineStr">
        <is>
          <t>Здоровье</t>
        </is>
      </c>
      <c r="P15" s="0" t="inlineStr">
        <is>
          <t>29.09.2026</t>
        </is>
      </c>
    </row>
    <row r="16">
      <c r="A16" s="0" t="inlineStr">
        <is>
          <t>farm-invest.ru</t>
        </is>
      </c>
      <c r="B16" s="0" t="n">
        <v>177</v>
      </c>
      <c r="C16" s="0" t="n">
        <v>1141</v>
      </c>
      <c r="D16" s="0" t="n">
        <v>1506</v>
      </c>
      <c r="E16" s="0" t="n">
        <v>274</v>
      </c>
      <c r="F16" s="0" t="n">
        <v>3889</v>
      </c>
      <c r="G16" s="0" t="n">
        <v>570</v>
      </c>
      <c r="H16" s="0" t="n">
        <v>5330</v>
      </c>
      <c r="I16" s="0" t="n">
        <v>583</v>
      </c>
      <c r="J16" s="0" t="n">
        <v>14</v>
      </c>
      <c r="K16" s="0" t="n">
        <v>303</v>
      </c>
      <c r="L16" s="0" t="n">
        <v>37000</v>
      </c>
      <c r="M16" s="0" t="n">
        <v>17</v>
      </c>
      <c r="N16" s="0" t="n">
        <v>59</v>
      </c>
      <c r="O16" s="0" t="inlineStr">
        <is>
          <t>Здоровье</t>
        </is>
      </c>
      <c r="P16" s="0" t="inlineStr">
        <is>
          <t>14.09.2026</t>
        </is>
      </c>
    </row>
    <row r="17">
      <c r="A17" s="0" t="inlineStr">
        <is>
          <t>uromed-m.ru</t>
        </is>
      </c>
      <c r="B17" s="0" t="n">
        <v>237</v>
      </c>
      <c r="C17" s="0" t="n">
        <v>1032</v>
      </c>
      <c r="D17" s="0" t="n">
        <v>1492</v>
      </c>
      <c r="E17" s="0" t="n">
        <v>224</v>
      </c>
      <c r="F17" s="0" t="n">
        <v>2427</v>
      </c>
      <c r="G17" s="0" t="n">
        <v>475</v>
      </c>
      <c r="H17" s="0" t="n">
        <v>3955</v>
      </c>
      <c r="I17" s="0" t="n">
        <v>348</v>
      </c>
      <c r="J17" s="0" t="n">
        <v>43</v>
      </c>
      <c r="K17" s="0" t="n">
        <v>0</v>
      </c>
      <c r="L17" s="0" t="n">
        <v>24800</v>
      </c>
      <c r="M17" s="0" t="n">
        <v>78</v>
      </c>
      <c r="N17" s="0" t="n">
        <v>47</v>
      </c>
      <c r="O17" s="0" t="inlineStr">
        <is>
          <t>Здоровье</t>
        </is>
      </c>
      <c r="P17" s="0" t="inlineStr">
        <is>
          <t>20.07.2026</t>
        </is>
      </c>
    </row>
    <row r="18">
      <c r="A18" s="0" t="inlineStr">
        <is>
          <t>intelmed.ru</t>
        </is>
      </c>
      <c r="B18" s="0" t="n">
        <v>28</v>
      </c>
      <c r="C18" s="0" t="n">
        <v>531</v>
      </c>
      <c r="D18" s="0" t="n">
        <v>699</v>
      </c>
      <c r="E18" s="0" t="n">
        <v>53</v>
      </c>
      <c r="F18" s="0" t="n">
        <v>644</v>
      </c>
      <c r="G18" s="0" t="n">
        <v>182</v>
      </c>
      <c r="H18" s="0" t="n">
        <v>2912</v>
      </c>
      <c r="I18" s="0" t="n">
        <v>240</v>
      </c>
      <c r="J18" s="0" t="n">
        <v>37</v>
      </c>
      <c r="K18" s="0" t="n">
        <v>0</v>
      </c>
      <c r="L18" s="0" t="n">
        <v>14700</v>
      </c>
      <c r="M18" s="0" t="n">
        <v>60</v>
      </c>
      <c r="N18" s="0" t="n">
        <v>48</v>
      </c>
      <c r="O18" s="0" t="inlineStr">
        <is>
          <t>Здоровье</t>
        </is>
      </c>
      <c r="P18" s="0" t="inlineStr">
        <is>
          <t>25.08.2026</t>
        </is>
      </c>
    </row>
    <row r="19">
      <c r="A19" s="0" t="inlineStr">
        <is>
          <t>kriptomed.ru</t>
        </is>
      </c>
      <c r="B19" s="0" t="n">
        <v>194</v>
      </c>
      <c r="C19" s="0" t="n">
        <v>423</v>
      </c>
      <c r="D19" s="0" t="n">
        <v>870</v>
      </c>
      <c r="E19" s="0" t="n">
        <v>250</v>
      </c>
      <c r="F19" s="0" t="n">
        <v>2137</v>
      </c>
      <c r="G19" s="0" t="n">
        <v>311</v>
      </c>
      <c r="H19" s="0" t="n">
        <v>2020</v>
      </c>
      <c r="I19" s="0" t="n">
        <v>156</v>
      </c>
      <c r="J19" s="0" t="n">
        <v>45</v>
      </c>
      <c r="K19" s="0" t="n">
        <v>5092</v>
      </c>
      <c r="L19" s="0" t="n">
        <v>7240</v>
      </c>
      <c r="M19" s="0" t="n">
        <v>62</v>
      </c>
      <c r="N19" s="0" t="n">
        <v>53</v>
      </c>
      <c r="O19" s="0" t="inlineStr">
        <is>
          <t>Здоровье</t>
        </is>
      </c>
      <c r="P19" s="0" t="inlineStr">
        <is>
          <t>25.08.2026</t>
        </is>
      </c>
    </row>
    <row r="20">
      <c r="A20" s="0" t="inlineStr">
        <is>
          <t>fotek.ru</t>
        </is>
      </c>
      <c r="B20" s="0" t="n">
        <v>55</v>
      </c>
      <c r="C20" s="0" t="n">
        <v>110</v>
      </c>
      <c r="D20" s="0" t="n">
        <v>575</v>
      </c>
      <c r="E20" s="0" t="n">
        <v>73</v>
      </c>
      <c r="F20" s="0" t="n">
        <v>734</v>
      </c>
      <c r="G20" s="0" t="n">
        <v>139</v>
      </c>
      <c r="H20" s="0" t="n">
        <v>790</v>
      </c>
      <c r="I20" s="0" t="n">
        <v>601</v>
      </c>
      <c r="J20" s="0" t="n">
        <v>33</v>
      </c>
      <c r="K20" s="0" t="n">
        <v>0</v>
      </c>
      <c r="L20" s="0" t="n">
        <v>6880</v>
      </c>
      <c r="M20" s="0" t="n">
        <v>60</v>
      </c>
      <c r="N20" s="0" t="n">
        <v>28</v>
      </c>
      <c r="O20" s="0" t="inlineStr">
        <is>
          <t>Здоровье</t>
        </is>
      </c>
      <c r="P20" s="0" t="inlineStr">
        <is>
          <t>05.06.2026</t>
        </is>
      </c>
    </row>
    <row r="21">
      <c r="A21" s="0" t="inlineStr">
        <is>
          <t>medgrade.pro</t>
        </is>
      </c>
      <c r="B21" s="0" t="n">
        <v>188</v>
      </c>
      <c r="C21" s="0" t="n">
        <v>155</v>
      </c>
      <c r="D21" s="0" t="n">
        <v>3483</v>
      </c>
      <c r="E21" s="0" t="n">
        <v>287</v>
      </c>
      <c r="F21" s="0" t="n">
        <v>2044</v>
      </c>
      <c r="G21" s="0" t="n">
        <v>133</v>
      </c>
      <c r="H21" s="0" t="n">
        <v>2183</v>
      </c>
      <c r="I21" s="0" t="n">
        <v>152</v>
      </c>
      <c r="J21" s="0" t="n">
        <v>112</v>
      </c>
      <c r="K21" s="0" t="n">
        <v>0</v>
      </c>
      <c r="L21" s="0" t="n">
        <v>11600</v>
      </c>
      <c r="M21" s="0" t="n">
        <v>51</v>
      </c>
      <c r="N21" s="0" t="n">
        <v>38</v>
      </c>
      <c r="O21" s="0" t="inlineStr">
        <is>
          <t>Здоровье</t>
        </is>
      </c>
      <c r="P21" s="0" t="inlineStr">
        <is>
          <t>31.05.2026</t>
        </is>
      </c>
    </row>
    <row r="22">
      <c r="A22" s="0" t="inlineStr">
        <is>
          <t>reiginmed.ru</t>
        </is>
      </c>
      <c r="B22" s="0" t="n">
        <v>0</v>
      </c>
      <c r="D22" s="0" t="n">
        <v>0</v>
      </c>
      <c r="E22" s="0" t="n">
        <v>0</v>
      </c>
      <c r="F22" s="0" t="n">
        <v>0</v>
      </c>
      <c r="I22" s="0" t="n">
        <v>0</v>
      </c>
      <c r="J22" s="0" t="n">
        <v>5</v>
      </c>
      <c r="K22" s="0" t="n">
        <v>0</v>
      </c>
      <c r="O22" s="0" t="inlineStr">
        <is>
          <t>-</t>
        </is>
      </c>
      <c r="P22" s="0" t="inlineStr">
        <is>
          <t>29.04.2026</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2026-09-30T20:41:54Z</dcterms:created>
  <dcterms:modified xsi:type="dcterms:W3CDTF">2026-09-30T21:47:24Z</dcterms:modified>
</cp:coreProperties>
</file>